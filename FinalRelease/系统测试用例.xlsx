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sjtu\classes\25-3\se\迭代3\"/>
    </mc:Choice>
  </mc:AlternateContent>
  <bookViews>
    <workbookView windowWidth="24750" windowHeight="10480"/>
  </bookViews>
  <sheets>
    <sheet name="Information" sheetId="7" r:id="rId1"/>
    <sheet name="Test Cases" sheetId="8" r:id="rId2"/>
    <sheet name="常用测试方法" sheetId="3" r:id="rId3"/>
  </sheets>
  <definedNames>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<sst xmlns="http://schemas.openxmlformats.org/spreadsheetml/2006/main" count="710" uniqueCount="472">
  <si>
    <t>Shanghai Jiao Tong University
上海交通大学 
上海市闵行区东川路800号</t>
  </si>
  <si>
    <t>项目名称
Project Name</t>
  </si>
  <si>
    <t>密级
Confidentiality Level</t>
  </si>
  <si>
    <t>游戏搭子招募工具</t>
  </si>
  <si>
    <t>仅供收件方查阅</t>
  </si>
  <si>
    <t>项目编号
Project ID</t>
  </si>
  <si>
    <t>版本
version</t>
  </si>
  <si>
    <r>
      <rPr>
        <sz val="12"/>
        <rFont val="宋体"/>
        <charset val="134"/>
      </rPr>
      <t xml:space="preserve">文档编号
</t>
    </r>
    <r>
      <rPr>
        <sz val="12"/>
        <rFont val="Times New Roman"/>
        <charset val="134"/>
      </rPr>
      <t>Document Code</t>
    </r>
  </si>
  <si>
    <t>1.0</t>
  </si>
  <si>
    <t>Project ID_PI_001</t>
  </si>
  <si>
    <t>Gamemate Recruiting Tool System Test Case Form
游戏搭子招募工具系统测试用例</t>
  </si>
  <si>
    <r>
      <rPr>
        <sz val="12"/>
        <rFont val="Times New Roman"/>
        <charset val="134"/>
      </rPr>
      <t xml:space="preserve">Prepared by 
</t>
    </r>
    <r>
      <rPr>
        <sz val="12"/>
        <rFont val="宋体"/>
        <charset val="134"/>
      </rPr>
      <t>拟制</t>
    </r>
  </si>
  <si>
    <t>游戏搭子招募工具开发组</t>
  </si>
  <si>
    <r>
      <rPr>
        <sz val="12"/>
        <rFont val="Times New Roman"/>
        <charset val="134"/>
      </rPr>
      <t xml:space="preserve">Date
</t>
    </r>
    <r>
      <rPr>
        <sz val="12"/>
        <rFont val="宋体"/>
        <charset val="134"/>
      </rPr>
      <t>日期</t>
    </r>
  </si>
  <si>
    <r>
      <rPr>
        <sz val="12"/>
        <rFont val="Times New Roman"/>
        <charset val="134"/>
      </rPr>
      <t xml:space="preserve">Reviewed by 
</t>
    </r>
    <r>
      <rPr>
        <sz val="12"/>
        <rFont val="宋体"/>
        <charset val="134"/>
      </rPr>
      <t>评审人</t>
    </r>
  </si>
  <si>
    <t>yyyy-mm-dd</t>
  </si>
  <si>
    <r>
      <rPr>
        <sz val="12"/>
        <rFont val="Times New Roman"/>
        <charset val="134"/>
      </rPr>
      <t xml:space="preserve">Approved by
</t>
    </r>
    <r>
      <rPr>
        <sz val="12"/>
        <rFont val="宋体"/>
        <charset val="134"/>
      </rPr>
      <t>批准</t>
    </r>
  </si>
  <si>
    <r>
      <rPr>
        <sz val="12"/>
        <rFont val="Times New Roman"/>
        <charset val="134"/>
      </rPr>
      <t xml:space="preserve">Revision Record </t>
    </r>
    <r>
      <rPr>
        <sz val="12"/>
        <rFont val="宋体"/>
        <charset val="134"/>
      </rPr>
      <t>修订记录</t>
    </r>
  </si>
  <si>
    <r>
      <rPr>
        <sz val="12"/>
        <rFont val="Times New Roman"/>
        <charset val="134"/>
      </rPr>
      <t xml:space="preserve">Date
 </t>
    </r>
    <r>
      <rPr>
        <sz val="12"/>
        <rFont val="宋体"/>
        <charset val="134"/>
      </rPr>
      <t>日期</t>
    </r>
    <r>
      <rPr>
        <sz val="12"/>
        <rFont val="Times New Roman"/>
        <charset val="134"/>
      </rPr>
      <t xml:space="preserve"> </t>
    </r>
  </si>
  <si>
    <r>
      <rPr>
        <sz val="12"/>
        <rFont val="Times New Roman"/>
        <charset val="134"/>
      </rPr>
      <t xml:space="preserve">Revision Version </t>
    </r>
    <r>
      <rPr>
        <sz val="12"/>
        <rFont val="宋体"/>
        <charset val="134"/>
      </rPr>
      <t>修订</t>
    </r>
    <r>
      <rPr>
        <sz val="12"/>
        <rFont val="Times New Roman"/>
        <charset val="134"/>
      </rPr>
      <t xml:space="preserve"> </t>
    </r>
    <r>
      <rPr>
        <sz val="12"/>
        <rFont val="宋体"/>
        <charset val="134"/>
      </rPr>
      <t>版本</t>
    </r>
  </si>
  <si>
    <r>
      <rPr>
        <sz val="12"/>
        <rFont val="Times New Roman"/>
        <charset val="134"/>
      </rPr>
      <t xml:space="preserve">Change Description
 </t>
    </r>
    <r>
      <rPr>
        <sz val="12"/>
        <rFont val="宋体"/>
        <charset val="134"/>
      </rPr>
      <t>修改描述</t>
    </r>
  </si>
  <si>
    <r>
      <rPr>
        <sz val="12"/>
        <rFont val="Times New Roman"/>
        <charset val="134"/>
      </rPr>
      <t xml:space="preserve">Author
 </t>
    </r>
    <r>
      <rPr>
        <sz val="12"/>
        <rFont val="宋体"/>
        <charset val="134"/>
      </rPr>
      <t>作者</t>
    </r>
  </si>
  <si>
    <t>1.00</t>
  </si>
  <si>
    <r>
      <rPr>
        <sz val="12"/>
        <color indexed="48"/>
        <rFont val="Times New Roman"/>
        <charset val="134"/>
      </rPr>
      <t xml:space="preserve">initial </t>
    </r>
    <r>
      <rPr>
        <sz val="12"/>
        <color indexed="48"/>
        <rFont val="宋体"/>
        <charset val="134"/>
      </rPr>
      <t>初稿完成</t>
    </r>
  </si>
  <si>
    <t>何宇恒</t>
  </si>
  <si>
    <t>测试结果分析</t>
  </si>
  <si>
    <t>类别</t>
  </si>
  <si>
    <t>用例数</t>
  </si>
  <si>
    <t>通过数</t>
  </si>
  <si>
    <t>通过率</t>
  </si>
  <si>
    <t>功能测试</t>
  </si>
  <si>
    <t>性能测试</t>
  </si>
  <si>
    <t>可靠性测试</t>
  </si>
  <si>
    <t>安全性测试</t>
  </si>
  <si>
    <t>兼容性测试</t>
  </si>
  <si>
    <t>易用性测试</t>
  </si>
  <si>
    <t>部署测试</t>
  </si>
  <si>
    <t>合计</t>
  </si>
  <si>
    <t>测试用例详情</t>
  </si>
  <si>
    <t>文档帮助</t>
  </si>
  <si>
    <r>
      <rPr>
        <b/>
        <sz val="20"/>
        <rFont val="宋体"/>
        <charset val="134"/>
      </rPr>
      <t>测试用例</t>
    </r>
    <r>
      <rPr>
        <b/>
        <sz val="20"/>
        <rFont val="Times New Roman"/>
        <charset val="134"/>
      </rPr>
      <t xml:space="preserve"> </t>
    </r>
  </si>
  <si>
    <r>
      <rPr>
        <b/>
        <sz val="12"/>
        <color theme="0"/>
        <rFont val="Times New Roman"/>
        <charset val="134"/>
      </rPr>
      <t xml:space="preserve">Test Case ID
 </t>
    </r>
    <r>
      <rPr>
        <b/>
        <sz val="12"/>
        <color theme="0"/>
        <rFont val="宋体"/>
        <charset val="134"/>
      </rPr>
      <t>测试用例编号</t>
    </r>
  </si>
  <si>
    <r>
      <rPr>
        <b/>
        <sz val="12"/>
        <color theme="0"/>
        <rFont val="Times New Roman"/>
        <charset val="134"/>
      </rPr>
      <t xml:space="preserve">Test Item 
</t>
    </r>
    <r>
      <rPr>
        <b/>
        <sz val="12"/>
        <color theme="0"/>
        <rFont val="宋体"/>
        <charset val="134"/>
      </rPr>
      <t>测试项</t>
    </r>
  </si>
  <si>
    <r>
      <rPr>
        <b/>
        <sz val="12"/>
        <color theme="0"/>
        <rFont val="Times New Roman"/>
        <charset val="134"/>
      </rPr>
      <t xml:space="preserve">Test Type
</t>
    </r>
    <r>
      <rPr>
        <b/>
        <sz val="12"/>
        <color theme="0"/>
        <rFont val="宋体"/>
        <charset val="134"/>
      </rPr>
      <t>测试类型</t>
    </r>
  </si>
  <si>
    <r>
      <rPr>
        <b/>
        <sz val="12"/>
        <color theme="0"/>
        <rFont val="Times New Roman"/>
        <charset val="134"/>
      </rPr>
      <t xml:space="preserve">Test Case Title 
</t>
    </r>
    <r>
      <rPr>
        <b/>
        <sz val="12"/>
        <color theme="0"/>
        <rFont val="宋体"/>
        <charset val="134"/>
      </rPr>
      <t>测试用例标题</t>
    </r>
  </si>
  <si>
    <r>
      <rPr>
        <b/>
        <sz val="12"/>
        <color theme="0"/>
        <rFont val="Times New Roman"/>
        <charset val="134"/>
      </rPr>
      <t xml:space="preserve">Test Criticality
</t>
    </r>
    <r>
      <rPr>
        <b/>
        <sz val="12"/>
        <color theme="0"/>
        <rFont val="宋体"/>
        <charset val="134"/>
      </rPr>
      <t>测试优先级</t>
    </r>
  </si>
  <si>
    <r>
      <rPr>
        <b/>
        <sz val="12"/>
        <color theme="0"/>
        <rFont val="Times New Roman"/>
        <charset val="134"/>
      </rPr>
      <t xml:space="preserve">Pre-condition
 </t>
    </r>
    <r>
      <rPr>
        <b/>
        <sz val="12"/>
        <color theme="0"/>
        <rFont val="宋体"/>
        <charset val="134"/>
      </rPr>
      <t>预置条件</t>
    </r>
  </si>
  <si>
    <r>
      <rPr>
        <b/>
        <sz val="12"/>
        <color theme="0"/>
        <rFont val="Times New Roman"/>
        <charset val="134"/>
      </rPr>
      <t xml:space="preserve">Input &amp; Procedure 
</t>
    </r>
    <r>
      <rPr>
        <b/>
        <sz val="12"/>
        <color theme="0"/>
        <rFont val="宋体"/>
        <charset val="134"/>
      </rPr>
      <t>输入与操作</t>
    </r>
  </si>
  <si>
    <r>
      <rPr>
        <b/>
        <sz val="12"/>
        <color theme="0"/>
        <rFont val="Times New Roman"/>
        <charset val="134"/>
      </rPr>
      <t xml:space="preserve">Expected Output
 </t>
    </r>
    <r>
      <rPr>
        <b/>
        <sz val="12"/>
        <color theme="0"/>
        <rFont val="宋体"/>
        <charset val="134"/>
      </rPr>
      <t>预期结果</t>
    </r>
  </si>
  <si>
    <r>
      <rPr>
        <b/>
        <sz val="12"/>
        <color theme="0"/>
        <rFont val="Times New Roman"/>
        <charset val="134"/>
      </rPr>
      <t xml:space="preserve">Result
</t>
    </r>
    <r>
      <rPr>
        <b/>
        <sz val="12"/>
        <color theme="0"/>
        <rFont val="宋体"/>
        <charset val="134"/>
      </rPr>
      <t>实际结果</t>
    </r>
  </si>
  <si>
    <r>
      <rPr>
        <b/>
        <sz val="12"/>
        <color theme="0"/>
        <rFont val="Times New Roman"/>
        <charset val="134"/>
      </rPr>
      <t xml:space="preserve">Status
</t>
    </r>
    <r>
      <rPr>
        <b/>
        <sz val="12"/>
        <color theme="0"/>
        <rFont val="宋体"/>
        <charset val="134"/>
      </rPr>
      <t>是否通过</t>
    </r>
  </si>
  <si>
    <r>
      <rPr>
        <b/>
        <sz val="12"/>
        <color theme="0"/>
        <rFont val="Times New Roman"/>
        <charset val="134"/>
      </rPr>
      <t xml:space="preserve">BUG Severity
</t>
    </r>
    <r>
      <rPr>
        <b/>
        <sz val="12"/>
        <color theme="0"/>
        <rFont val="宋体"/>
        <charset val="134"/>
      </rPr>
      <t>错误严重等级</t>
    </r>
  </si>
  <si>
    <r>
      <rPr>
        <b/>
        <sz val="12"/>
        <color theme="0"/>
        <rFont val="Times New Roman"/>
        <charset val="134"/>
      </rPr>
      <t xml:space="preserve">Remark
 </t>
    </r>
    <r>
      <rPr>
        <b/>
        <sz val="12"/>
        <color theme="0"/>
        <rFont val="宋体"/>
        <charset val="134"/>
      </rPr>
      <t>备注</t>
    </r>
  </si>
  <si>
    <t>TC-001</t>
  </si>
  <si>
    <t>用户注册</t>
  </si>
  <si>
    <t>正常注册</t>
  </si>
  <si>
    <t>高</t>
  </si>
  <si>
    <t>可访问注册页面</t>
  </si>
  <si>
    <t>1.输入用户名"xiaoming"，密码"123456"，确认密码"123456"
2.点击注册按钮</t>
  </si>
  <si>
    <t>注册成功，跳转至登录页</t>
  </si>
  <si>
    <t>OK</t>
  </si>
  <si>
    <t>TC-002</t>
  </si>
  <si>
    <t>密码不一致注册失败</t>
  </si>
  <si>
    <t>中</t>
  </si>
  <si>
    <t>1.输入用户名"xiaoming"，密码"123456"，确认密码"654321"
2.点击注册按钮</t>
  </si>
  <si>
    <t>提示"两次密码输入不一致"</t>
  </si>
  <si>
    <t>POK</t>
  </si>
  <si>
    <t>TC-003</t>
  </si>
  <si>
    <t>用户名已存在注册失败</t>
  </si>
  <si>
    <t>已存在用户"xiaoming"</t>
  </si>
  <si>
    <t>提示"用户名已被注册"</t>
  </si>
  <si>
    <t>TC-004</t>
  </si>
  <si>
    <t>用户登录</t>
  </si>
  <si>
    <t>正常登录</t>
  </si>
  <si>
    <t>已注册账号"xiaoming/123456"</t>
  </si>
  <si>
    <t>1.输入用户名"xiaoming"，密码"123456"
2.点击登录按钮</t>
  </si>
  <si>
    <t>登录成功，跳转至首页</t>
  </si>
  <si>
    <t>TC-005</t>
  </si>
  <si>
    <t>错误密码登录失败</t>
  </si>
  <si>
    <t>1.输入用户名"xiaoming"，密码"654321"
2.点击登录按钮</t>
  </si>
  <si>
    <t>提示"用户名或密码错误"</t>
  </si>
  <si>
    <t>TC-006</t>
  </si>
  <si>
    <t>不存在用户名登录失败</t>
  </si>
  <si>
    <t>无特殊预置条件</t>
  </si>
  <si>
    <t>1.输入用户名"nouser"，密码"123456"
2.点击登录按钮</t>
  </si>
  <si>
    <t>TC-007</t>
  </si>
  <si>
    <t>空用户名或密码提交失败</t>
  </si>
  <si>
    <t>低</t>
  </si>
  <si>
    <t>1.不输入用户名或密码
2.点击登录按钮</t>
  </si>
  <si>
    <t>提示"请输入用户名和密码"</t>
  </si>
  <si>
    <t>NG</t>
  </si>
  <si>
    <t>TC-008</t>
  </si>
  <si>
    <t>退出登录</t>
  </si>
  <si>
    <t>正常退出登录</t>
  </si>
  <si>
    <t>用户已登录</t>
  </si>
  <si>
    <t>1.进入"我的"Tab
2.点击"退出登录"</t>
  </si>
  <si>
    <t>清除Token，跳转至登录页</t>
  </si>
  <si>
    <t>TC-009</t>
  </si>
  <si>
    <t>退出后重新登录</t>
  </si>
  <si>
    <t>用户已退出登录</t>
  </si>
  <si>
    <t>1.在登录页输入正确用户名和密码
2.点击登录按钮</t>
  </si>
  <si>
    <t>登录成功，首页数据正常加载</t>
  </si>
  <si>
    <t>TC-010</t>
  </si>
  <si>
    <t>招募列表</t>
  </si>
  <si>
    <t>正常加载招募列表</t>
  </si>
  <si>
    <t>用户已登录；后端存在招募数据</t>
  </si>
  <si>
    <t>1.进入首页
2.等待列表加载</t>
  </si>
  <si>
    <t>显示招募卡片列表，每条含游戏名、标题、标签、发布时间</t>
  </si>
  <si>
    <t>TC-011</t>
  </si>
  <si>
    <t>无招募数据时空状态展示</t>
  </si>
  <si>
    <t>用户已登录；后端无招募数据</t>
  </si>
  <si>
    <t>1.进入首页
2.查看列表区域</t>
  </si>
  <si>
    <t>显示空状态提示，无加载动画卡顿</t>
  </si>
  <si>
    <t>TC-012</t>
  </si>
  <si>
    <t>游戏标签筛选</t>
  </si>
  <si>
    <t>用户已登录；存在带标签的招募</t>
  </si>
  <si>
    <t>1.点击展开标签
2.选中一个游戏标签
3.等待列表刷新</t>
  </si>
  <si>
    <t>标签高亮；列表仅显示包含该标签的招募</t>
  </si>
  <si>
    <t>TC-013</t>
  </si>
  <si>
    <t>取消标签恢复列表</t>
  </si>
  <si>
    <t>已选中至少一个游戏标签</t>
  </si>
  <si>
    <t>1.再次点击已选中标签取消
2.等待列表刷新</t>
  </si>
  <si>
    <t>标签取消高亮；列表恢复全部招募</t>
  </si>
  <si>
    <t>TC-014</t>
  </si>
  <si>
    <t>招募标签筛选</t>
  </si>
  <si>
    <t>1.点击展开标签
2.选中一个招募标签
3.等待列表刷新</t>
  </si>
  <si>
    <t>TC-015</t>
  </si>
  <si>
    <t>组合标签筛选</t>
  </si>
  <si>
    <t>多标签组合筛选</t>
  </si>
  <si>
    <t>存在同时含游戏标签和招募标签的招募</t>
  </si>
  <si>
    <t>1.选中一个游戏标签
2.再选中一个招募标签
3.等待列表刷新</t>
  </si>
  <si>
    <t>两个标签均高亮；列表显示同时包含两者的招募</t>
  </si>
  <si>
    <t>TC-016</t>
  </si>
  <si>
    <t>标签区收展</t>
  </si>
  <si>
    <t>收起标签区保持筛选结果</t>
  </si>
  <si>
    <t>已选中至少一个标签</t>
  </si>
  <si>
    <t>1.点击收起标签</t>
  </si>
  <si>
    <t>标签区收起；列表仍保持筛选结果</t>
  </si>
  <si>
    <t>TC-017</t>
  </si>
  <si>
    <t>游戏搜索</t>
  </si>
  <si>
    <t>搜索并选择游戏</t>
  </si>
  <si>
    <t>用户已登录；后端存在游戏数据</t>
  </si>
  <si>
    <t>1.点击搜索框打开弹窗
2.输入游戏名称
3.从结果中选择游戏
4.确认选择</t>
  </si>
  <si>
    <t>搜索框显示所选游戏；首页列表筛选该游戏/发布页填充游戏字段</t>
  </si>
  <si>
    <t>TC-018</t>
  </si>
  <si>
    <t>搜索不存在游戏显示空结果</t>
  </si>
  <si>
    <t>1.打开搜索弹窗
2.输入不存在的游戏名称</t>
  </si>
  <si>
    <t>显示空结果，无可选游戏</t>
  </si>
  <si>
    <t>TC-019</t>
  </si>
  <si>
    <t>发布招募</t>
  </si>
  <si>
    <t>完整信息发布成功</t>
  </si>
  <si>
    <t>1.点击底部"发布"Tab进入发布页
2.搜索并选择游戏
3.输入标题
4.选择招募标签（可选）
5.输入详情（可选）
6.点击"发布"</t>
  </si>
  <si>
    <t>发布成功，跳转首页，列表中显示新招募</t>
  </si>
  <si>
    <t>TC-020</t>
  </si>
  <si>
    <t>标题为空发布失败</t>
  </si>
  <si>
    <t>1.进入发布页
2.不输入标题
3.填写其他信息
4.点击"发布"</t>
  </si>
  <si>
    <t>提示"请输入标题"，停留在发布页</t>
  </si>
  <si>
    <t>TC-021</t>
  </si>
  <si>
    <t>编辑招募</t>
  </si>
  <si>
    <t>编辑页表单回显</t>
  </si>
  <si>
    <t>用户已登录；存在已发布的招募</t>
  </si>
  <si>
    <t>1.在招募管理页点击"编辑"
2.查看表单内容</t>
  </si>
  <si>
    <t>游戏名、标题、标签、详情正确回显；游戏搜索框置灰不可编辑</t>
  </si>
  <si>
    <t>TC-022</t>
  </si>
  <si>
    <t>保存编辑成功</t>
  </si>
  <si>
    <t>已进入编辑模式</t>
  </si>
  <si>
    <t>1.修改标题或标签
2.点击"发布"保存</t>
  </si>
  <si>
    <t>保存成功，跳转首页，招募信息已更新</t>
  </si>
  <si>
    <t>TC-023</t>
  </si>
  <si>
    <t>发布/编辑</t>
  </si>
  <si>
    <t>返回不保存</t>
  </si>
  <si>
    <t>用户已进入发布页</t>
  </si>
  <si>
    <t>1.点击返回</t>
  </si>
  <si>
    <t>返回上一页，未保存内容不提交</t>
  </si>
  <si>
    <t>TC-024</t>
  </si>
  <si>
    <t>标签选择</t>
  </si>
  <si>
    <t>标签选择/取消交互</t>
  </si>
  <si>
    <t>用户已登录；进入发布页</t>
  </si>
  <si>
    <t>1.点击多个标签选中
2.再次点击已选中标签取消</t>
  </si>
  <si>
    <t>选中标签背景色变化；可多选；取消后恢复默认</t>
  </si>
  <si>
    <t>TC-025</t>
  </si>
  <si>
    <t>招募详情</t>
  </si>
  <si>
    <t>查看他人招募详情</t>
  </si>
  <si>
    <t>用户已登录；存在他人发布的招募</t>
  </si>
  <si>
    <t>1.点击首页招募卡片</t>
  </si>
  <si>
    <t>进入view页，显示完整招募信息（游戏、标题、标签、描述、发布者）</t>
  </si>
  <si>
    <t>TC-026</t>
  </si>
  <si>
    <t>查看自己招募跳转管理页</t>
  </si>
  <si>
    <t>用户已登录；存在自己发布的招募</t>
  </si>
  <si>
    <t>1.点击首页自己发布的招募卡片</t>
  </si>
  <si>
    <t>进入manage页，显示招募信息和回应列表</t>
  </si>
  <si>
    <t>TC-027</t>
  </si>
  <si>
    <t>招募管理</t>
  </si>
  <si>
    <t>关闭/继续招募</t>
  </si>
  <si>
    <t>存在招募中的招募</t>
  </si>
  <si>
    <t>1.进入manage页
2.点击"关闭招募"确认
3.再次点击"继续招募"</t>
  </si>
  <si>
    <t>状态切换；首页列表更新</t>
  </si>
  <si>
    <t>TC-028</t>
  </si>
  <si>
    <t>删除招募</t>
  </si>
  <si>
    <t>存在可删除的招募</t>
  </si>
  <si>
    <t>1.进入manage页
2.点击"删除招募"确认</t>
  </si>
  <si>
    <t>招募删除，返回列表页，不再显示</t>
  </si>
  <si>
    <t>TC-029</t>
  </si>
  <si>
    <t>招募查看</t>
  </si>
  <si>
    <t>点击发布者头像跳转</t>
  </si>
  <si>
    <t>1.点击发布者头像或昵称</t>
  </si>
  <si>
    <t>跳转至发布者个人主页</t>
  </si>
  <si>
    <t>TC-030</t>
  </si>
  <si>
    <t>已关闭招募不可发起聊天</t>
  </si>
  <si>
    <t>招募状态为已关闭</t>
  </si>
  <si>
    <t>1.进入已关闭招募详情页
2.查看"聊一聊"按钮</t>
  </si>
  <si>
    <t>按钮不可用或提示招募已关闭</t>
  </si>
  <si>
    <t>TC-031</t>
  </si>
  <si>
    <t>发起聊天</t>
  </si>
  <si>
    <t>发起聊天成功</t>
  </si>
  <si>
    <t>用户已登录；查看他人发布的招募</t>
  </si>
  <si>
    <t>1.点击"聊一聊"
2.输入问候语
3.确认发送</t>
  </si>
  <si>
    <t>创建聊天会话，跳转至聊天室，有问候消息</t>
  </si>
  <si>
    <t>TC-032</t>
  </si>
  <si>
    <t>回应管理</t>
  </si>
  <si>
    <t>查看回应列表</t>
  </si>
  <si>
    <t>存在有回应的招募</t>
  </si>
  <si>
    <t>1.进入manage页
2.查看回应列表</t>
  </si>
  <si>
    <t>显示所有回应者头像、昵称</t>
  </si>
  <si>
    <t>TC-033</t>
  </si>
  <si>
    <t>拒绝回应</t>
  </si>
  <si>
    <t>存在待处理的回应</t>
  </si>
  <si>
    <t>1.在回应列表中点击拒绝
2.输入拒绝理由（可选）并确认操作</t>
  </si>
  <si>
    <t>回应被删除，列表更新，聊天看到拒绝消息</t>
  </si>
  <si>
    <t>TC-034</t>
  </si>
  <si>
    <t>点击回应者头像跳转</t>
  </si>
  <si>
    <t>1.点击回应者头像</t>
  </si>
  <si>
    <t>跳转至回应者个人主页</t>
  </si>
  <si>
    <t>TC-035</t>
  </si>
  <si>
    <t>点击聊天入口跳转</t>
  </si>
  <si>
    <t>已有聊天会话的回应</t>
  </si>
  <si>
    <t>1.点击回应列表中的查看按钮</t>
  </si>
  <si>
    <t>跳转至聊天室</t>
  </si>
  <si>
    <t>TC-036</t>
  </si>
  <si>
    <t>聊天列表</t>
  </si>
  <si>
    <t>正常加载聊天列表</t>
  </si>
  <si>
    <t>用户已登录；存在聊天会话</t>
  </si>
  <si>
    <t>1.点击"聊天"Tab</t>
  </si>
  <si>
    <t>显示会话列表（对方昵称、最后消息、时间）</t>
  </si>
  <si>
    <t>TC-037</t>
  </si>
  <si>
    <t>无会话时空状态展示</t>
  </si>
  <si>
    <t>用户已登录；无聊天会话</t>
  </si>
  <si>
    <t>显示空状态提示</t>
  </si>
  <si>
    <t>TC-038</t>
  </si>
  <si>
    <t>点击会话跳转聊天室</t>
  </si>
  <si>
    <t>存在聊天会话</t>
  </si>
  <si>
    <t>1.点击一个聊天会话</t>
  </si>
  <si>
    <t>进入聊天室，显示消息列表、输入框</t>
  </si>
  <si>
    <t>TC-039</t>
  </si>
  <si>
    <t>聊天室</t>
  </si>
  <si>
    <t>正常发送消息</t>
  </si>
  <si>
    <t>已进入聊天室；状态允许发送</t>
  </si>
  <si>
    <t>1.输入消息内容
2.点击发送</t>
  </si>
  <si>
    <t>消息显示在列表中，输入框清空</t>
  </si>
  <si>
    <t>TC-040</t>
  </si>
  <si>
    <t>发送空消息被拦截</t>
  </si>
  <si>
    <t>已进入聊天室</t>
  </si>
  <si>
    <t>1.不输入内容
2.点击发送</t>
  </si>
  <si>
    <t>不发送</t>
  </si>
  <si>
    <t>TC-041</t>
  </si>
  <si>
    <t>受限状态禁止发送</t>
  </si>
  <si>
    <t>聊天状态为限制或关闭</t>
  </si>
  <si>
    <t>1.尝试输入并发送</t>
  </si>
  <si>
    <t>输入框和发送按钮置灰，无法输入和发送</t>
  </si>
  <si>
    <t>TC-042</t>
  </si>
  <si>
    <t>点击对方头像跳转</t>
  </si>
  <si>
    <t>1.点击标题区对方头像/昵称</t>
  </si>
  <si>
    <t>跳转至对方个人主页</t>
  </si>
  <si>
    <t>TC-043</t>
  </si>
  <si>
    <t>点击招募栏跳转</t>
  </si>
  <si>
    <t>聊天关联招募</t>
  </si>
  <si>
    <t>1.点击顶部招募信息栏</t>
  </si>
  <si>
    <t>跳转至招募详情页</t>
  </si>
  <si>
    <t>TC-044</t>
  </si>
  <si>
    <t>个人主页</t>
  </si>
  <si>
    <t>查看自己主页</t>
  </si>
  <si>
    <t>1.进入"我的"Tab
2.点击"个人主页"</t>
  </si>
  <si>
    <t>显示头像、昵称、用户名、签名；右上角"编辑资料"</t>
  </si>
  <si>
    <t>TC-045</t>
  </si>
  <si>
    <t>查看他人主页</t>
  </si>
  <si>
    <t>1.从招募详情点击发布者头像</t>
  </si>
  <si>
    <t>显示对方信息；右上角"举报"</t>
  </si>
  <si>
    <t>TC-046</t>
  </si>
  <si>
    <t>Tab切换展示</t>
  </si>
  <si>
    <t>进入个人主页</t>
  </si>
  <si>
    <t>1.点击"收到评价"Tab
2.点击"发布招募"Tab</t>
  </si>
  <si>
    <t>Tab切换正常，内容区切换显示</t>
  </si>
  <si>
    <t>TC-047</t>
  </si>
  <si>
    <t>编辑资料</t>
  </si>
  <si>
    <t>正常编辑保存</t>
  </si>
  <si>
    <t>已进入编辑资料页</t>
  </si>
  <si>
    <t>1.修改昵称或签名
2.点击保存</t>
  </si>
  <si>
    <t>保存成功，个人主页显示更新</t>
  </si>
  <si>
    <t>TC-048</t>
  </si>
  <si>
    <t>表单回显</t>
  </si>
  <si>
    <t>1.查看表单内容</t>
  </si>
  <si>
    <t>昵称、签名正确回显当前资料</t>
  </si>
  <si>
    <t>TC-049</t>
  </si>
  <si>
    <t>反馈</t>
  </si>
  <si>
    <t>正常提交反馈</t>
  </si>
  <si>
    <t>1."我的"→"反馈"
2.选择反馈类型
3.输入内容
4.点击提交</t>
  </si>
  <si>
    <t>提交成功，返回上一页</t>
  </si>
  <si>
    <t>TC-050</t>
  </si>
  <si>
    <t>空内容提交被拦截</t>
  </si>
  <si>
    <t>1.进入反馈页
2.不输入内容
3.点击提交</t>
  </si>
  <si>
    <t>提示"请填写反馈内容"</t>
  </si>
  <si>
    <t>TC-051</t>
  </si>
  <si>
    <t>举报</t>
  </si>
  <si>
    <t>正常提交举报</t>
  </si>
  <si>
    <t>用户已登录；存在可举报对象</t>
  </si>
  <si>
    <t>1.进入举报页
2.选择举报类型
3.输入理由
4.点击提交</t>
  </si>
  <si>
    <t>TC-052</t>
  </si>
  <si>
    <t>空理由提交被拦截</t>
  </si>
  <si>
    <t>1.进入举报页
2.不输入理由
3.点击提交</t>
  </si>
  <si>
    <t>提示"请填写举报理由"</t>
  </si>
  <si>
    <t>TC-053</t>
  </si>
  <si>
    <t>深色主题</t>
  </si>
  <si>
    <t>切换深色主题生效</t>
  </si>
  <si>
    <t>用户已登录；当前浅色主题</t>
  </si>
  <si>
    <t>1."我的"→"设置"
2.开启深色主题开关
3.返回查看</t>
  </si>
  <si>
    <t>页面切换为深色主题</t>
  </si>
  <si>
    <t>TC-054</t>
  </si>
  <si>
    <t>切换浅色主题生效</t>
  </si>
  <si>
    <t>用户已登录；当前深色主题</t>
  </si>
  <si>
    <t>1.进入设置
2.关闭深色主题开关
3.返回查看</t>
  </si>
  <si>
    <t>页面切换为浅色主题</t>
  </si>
  <si>
    <t>TC-055</t>
  </si>
  <si>
    <t>网络异常</t>
  </si>
  <si>
    <t>网络断开时页面处理</t>
  </si>
  <si>
    <t>设备网络断开</t>
  </si>
  <si>
    <t>1.依次打开首页、个人主页、发布页、聊天室
2.尝试发送消息或提交表单</t>
  </si>
  <si>
    <t>页面不崩溃；显示加载/错误提示；不出现白屏</t>
  </si>
  <si>
    <t>TC-056</t>
  </si>
  <si>
    <t>消息推送</t>
  </si>
  <si>
    <t>App前台运行收到新消息推送</t>
  </si>
  <si>
    <t>双方已登录；已建立聊天；App在前台</t>
  </si>
  <si>
    <t>1.用户A在聊天室发送消息
2.用户B在App前台（任意页面）</t>
  </si>
  <si>
    <t>用户B收到横幅提示</t>
  </si>
  <si>
    <t>TC-057</t>
  </si>
  <si>
    <t>多条未读消息推送合并展示</t>
  </si>
  <si>
    <t>接收方App关闭或离线</t>
  </si>
  <si>
    <t>1.用户A连续发送多条消息
2.用户B打开App</t>
  </si>
  <si>
    <t>显示未读信息数小红点，进入聊天室后显示全部消息</t>
  </si>
  <si>
    <t>TC-058</t>
  </si>
  <si>
    <t>推送通知点击跳转至对应聊天室</t>
  </si>
  <si>
    <t>收到新消息推送通知</t>
  </si>
  <si>
    <t>1.点击推送通知</t>
  </si>
  <si>
    <t>跳转至对应的聊天室页面</t>
  </si>
  <si>
    <t>TC-059</t>
  </si>
  <si>
    <t>WebSocket断线自动重连</t>
  </si>
  <si>
    <t>已建立WebSocket连接</t>
  </si>
  <si>
    <t>1.模拟网络切换导致WebSocket断开
2.等待自动重连</t>
  </si>
  <si>
    <t>WebSocket自动重连成功，消息收发恢复正常，无丢消息</t>
  </si>
  <si>
    <t>TC-060</t>
  </si>
  <si>
    <t>用户头像</t>
  </si>
  <si>
    <t>用户头像正常显示</t>
  </si>
  <si>
    <t>用户已上传头像</t>
  </si>
  <si>
    <t>1.进入首页、招募详情、聊天室、个人主页
2.查看各处的用户头像</t>
  </si>
  <si>
    <t>所有位置显示用户头像，图片加载完整、清晰，统一使用同一头像URL</t>
  </si>
  <si>
    <t>TC-061</t>
  </si>
  <si>
    <t>无头像用户显示默认头像</t>
  </si>
  <si>
    <t>用户未上传头像</t>
  </si>
  <si>
    <t>1.进入首页、招募详情、聊天室、个人主页
2.查看无头像用户的头像</t>
  </si>
  <si>
    <t>显示默认头像占位图</t>
  </si>
  <si>
    <t>TC-062</t>
  </si>
  <si>
    <t>游戏封面</t>
  </si>
  <si>
    <t>游戏封面正常显示</t>
  </si>
  <si>
    <t>招募关联的游戏有封面图</t>
  </si>
  <si>
    <t>1.进入招募详情页/首页卡片
2.查看游戏封面/图标</t>
  </si>
  <si>
    <t>游戏封面/图标加载完整清晰，与游戏名称匹配</t>
  </si>
  <si>
    <t>TC-063</t>
  </si>
  <si>
    <t>无封面游戏显示默认占位</t>
  </si>
  <si>
    <t>游戏无封面图</t>
  </si>
  <si>
    <t>1.进入招募详情页/首页卡片
2.查看该游戏的封面/图标区域</t>
  </si>
  <si>
    <t>显示默认游戏封面占位图</t>
  </si>
  <si>
    <t>TC-064</t>
  </si>
  <si>
    <t>图片加载</t>
  </si>
  <si>
    <t>图片加载失败时显示占位图</t>
  </si>
  <si>
    <t>网络异常或图片URL无效</t>
  </si>
  <si>
    <t>1.进入含头像/封面的页面
2.模拟图片加载失败</t>
  </si>
  <si>
    <t>图片区域显示备用占位图，不出现空白或破损图标</t>
  </si>
  <si>
    <t>TC-065</t>
  </si>
  <si>
    <t>首页加载并发测试</t>
  </si>
  <si>
    <t>系统功能正常运行</t>
  </si>
  <si>
    <t>1.采用JMeter录制脚本执行登录-访问首页
2.执行压力测试，设置最大100在线人数和同时10个并发数</t>
  </si>
  <si>
    <t>平均事务响应时间小于3秒</t>
  </si>
  <si>
    <t>TC-066</t>
  </si>
  <si>
    <t>可靠性</t>
  </si>
  <si>
    <t>服务器重启恢复测试</t>
  </si>
  <si>
    <t>1.强制系统服务器断电重启
2.观察系统是否能恢复运行，数据库数据是否正确</t>
  </si>
  <si>
    <t>系统在10分钟内完成重启；数据库数据正确</t>
  </si>
  <si>
    <t>TC-067</t>
  </si>
  <si>
    <t>安全性</t>
  </si>
  <si>
    <t>未登录访问限制</t>
  </si>
  <si>
    <t>未登录状态</t>
  </si>
  <si>
    <t>1.退出登录后，直接访问需登录的页面或接口
2.检查系统是否拦截</t>
  </si>
  <si>
    <t>未登录请求返回401</t>
  </si>
  <si>
    <t>TC-068</t>
  </si>
  <si>
    <t>SQL注入测试</t>
  </si>
  <si>
    <t>1.在输入点注入SQL语句
2.检查系统是否拦截</t>
  </si>
  <si>
    <t>注入被有效拦截，无数据泄露</t>
  </si>
  <si>
    <t>TC-069</t>
  </si>
  <si>
    <t>首次安装部署</t>
  </si>
  <si>
    <t>无特殊条件</t>
  </si>
  <si>
    <t>1.在服务器部署操作系统、数据库和应用系统
2.运行数据库脚本，建立数据库
3.配置后端API地址和前端环境变量</t>
  </si>
  <si>
    <t>系统能够正常访问和操作</t>
  </si>
  <si>
    <t>TC-070</t>
  </si>
  <si>
    <t>升级安装系统</t>
  </si>
  <si>
    <t>已安装系统</t>
  </si>
  <si>
    <t>1.在服务器部署新版本应用系统
2.运行数据库迁移脚本
3.启动服务</t>
  </si>
  <si>
    <t>系统能够正常访问；数据完整无损</t>
  </si>
  <si>
    <t>TC-071</t>
  </si>
  <si>
    <t>易用性</t>
  </si>
  <si>
    <t>新用户无需培训完成核心操作</t>
  </si>
  <si>
    <t>新手用户未接触本系统</t>
  </si>
  <si>
    <t>1.让新手用户首次使用系统，开发人员不提供指导
2.观察其完成注册→登录→浏览招募→发布招募→回应招募流程</t>
  </si>
  <si>
    <t>新手能在10分钟内完成核心操作，无需额外帮助</t>
  </si>
  <si>
    <t>TC-072</t>
  </si>
  <si>
    <t>招募卡片</t>
  </si>
  <si>
    <t>卡片样式一致性</t>
  </si>
  <si>
    <t>存在招募数据</t>
  </si>
  <si>
    <t>1.对比首页卡片和个人主页卡片样式</t>
  </si>
  <si>
    <t>布局、字体、颜色、间距一致（同一组件复用）</t>
  </si>
  <si>
    <t>TC-073</t>
  </si>
  <si>
    <t>标签筛选</t>
  </si>
  <si>
    <t>筛选交互直观性</t>
  </si>
  <si>
    <t>存在标签数据</t>
  </si>
  <si>
    <t>1.展开/选择/取消标签
2.观察反馈和列表更新</t>
  </si>
  <si>
    <t>状态视觉区分明显；横向滚动流畅；结果即时更新</t>
  </si>
  <si>
    <t>TC-074</t>
  </si>
  <si>
    <t>搜索交互友好性</t>
  </si>
  <si>
    <t>1.点击搜索框
2.输入搜索词查看结果</t>
  </si>
  <si>
    <t>搜索框提示清晰；结果列表展示合理</t>
  </si>
  <si>
    <t>TC-075</t>
  </si>
  <si>
    <t>聊天交互</t>
  </si>
  <si>
    <t>聊天流畅友好性</t>
  </si>
  <si>
    <t>1.进入聊天室发送多条消息
2.观察滚动和输入体验</t>
  </si>
  <si>
    <t>新消息自动滚到底部；输入框不被键盘遮挡；气泡样式清晰</t>
  </si>
  <si>
    <t>TC-076</t>
  </si>
  <si>
    <t>管理操作直观性</t>
  </si>
  <si>
    <t>1.查看回应列表
2.执行拒绝/聊天操作</t>
  </si>
  <si>
    <t>操作按钮位置明显；拒绝有确认提示；操作后有明确反馈</t>
  </si>
  <si>
    <t>TC-077</t>
  </si>
  <si>
    <t>深色主题下各页面显示</t>
  </si>
  <si>
    <t>已开启深色主题；存在数据</t>
  </si>
  <si>
    <t>1.依次查看首页、个人主页、发布页、聊天室</t>
  </si>
  <si>
    <t>所有元素在深色背景下清晰可读，无颜色冲突</t>
  </si>
  <si>
    <t>TC-078</t>
  </si>
  <si>
    <t>浅色主题</t>
  </si>
  <si>
    <t>浅色主题下各页面显示</t>
  </si>
  <si>
    <t>已关闭深色主题；存在数据</t>
  </si>
  <si>
    <t>所有元素清晰可读，颜色搭配协调</t>
  </si>
  <si>
    <t>TC-079</t>
  </si>
  <si>
    <t>屏幕分辨率</t>
  </si>
  <si>
    <t>不同屏幕尺寸显示效果</t>
  </si>
  <si>
    <t>存在数据</t>
  </si>
  <si>
    <t>1.在小屏设备查看各页面
2.在大屏设备查看各页面</t>
  </si>
  <si>
    <t>卡片布局正常；文字不溢出；标签可滚动；输入框/按钮无错位</t>
  </si>
  <si>
    <t>测试类型</t>
  </si>
  <si>
    <t>常用测试方法</t>
  </si>
  <si>
    <t>采用场景法测试所有用例的所有事件流；
采用等价类划分、边界值分析、判定表法、错误猜测法等进行输入输出的测试。</t>
  </si>
  <si>
    <r>
      <rPr>
        <sz val="10.5"/>
        <rFont val="宋体"/>
        <charset val="134"/>
      </rPr>
      <t>测试在规定条件(如并发数、数据量)</t>
    </r>
    <r>
      <rPr>
        <sz val="10.5"/>
        <rFont val="宋体"/>
        <charset val="134"/>
      </rPr>
      <t>下，软件执行其功能时，提供适当的响应和处理时间以及吞吐率的能力，</t>
    </r>
    <r>
      <rPr>
        <sz val="10.5"/>
        <rFont val="宋体"/>
        <charset val="134"/>
      </rPr>
      <t>以及</t>
    </r>
    <r>
      <rPr>
        <sz val="10.5"/>
        <rFont val="宋体"/>
        <charset val="134"/>
      </rPr>
      <t>CPU、内存、网络等</t>
    </r>
    <r>
      <rPr>
        <sz val="10.5"/>
        <rFont val="宋体"/>
        <charset val="134"/>
      </rPr>
      <t>资源的使用情况</t>
    </r>
    <r>
      <rPr>
        <sz val="10.5"/>
        <rFont val="宋体"/>
        <charset val="134"/>
      </rPr>
      <t>。</t>
    </r>
    <r>
      <rPr>
        <sz val="10.5"/>
        <rFont val="宋体"/>
        <charset val="134"/>
      </rPr>
      <t>通常采用性能测试工具来模拟多个并发用户进行测试。</t>
    </r>
  </si>
  <si>
    <r>
      <rPr>
        <sz val="10.5"/>
        <rFont val="宋体"/>
        <charset val="134"/>
      </rPr>
      <t>关注故障的避免、预防、容错和恢复：通过自然方式和故障注入方式来触发和激活系统中的故障来测试。
常用指标：可用性Availability、</t>
    </r>
    <r>
      <rPr>
        <sz val="10.5"/>
        <rFont val="宋体"/>
        <charset val="134"/>
      </rPr>
      <t>平均故障间隔时间</t>
    </r>
    <r>
      <rPr>
        <sz val="10.5"/>
        <rFont val="宋体"/>
        <charset val="134"/>
      </rPr>
      <t>MTBF、平均故障修复时间MTTR。</t>
    </r>
  </si>
  <si>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</si>
  <si>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测试与其他软件或硬件的兼容。
例如系统前端与各种Web浏览器及各版本与各分辨率的兼容，系统后端与各种操作系统及数据库的兼容。</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</si>
  <si>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</si>
  <si>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首次安装测试、升级安装测试、卸装测试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</si>
</sst>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44">
    <font>
      <sz val="12"/>
      <name val="宋体"/>
      <charset val="134"/>
    </font>
    <font>
      <sz val="10.5"/>
      <name val="宋体"/>
      <charset val="134"/>
    </font>
    <font>
      <b/>
      <sz val="12"/>
      <color theme="1"/>
      <name val="宋体"/>
      <charset val="134"/>
    </font>
    <font>
      <sz val="10.5"/>
      <name val="宋体"/>
      <charset val="134"/>
    </font>
    <font>
      <b/>
      <sz val="12"/>
      <name val="宋体"/>
      <charset val="134"/>
    </font>
    <font>
      <sz val="12"/>
      <name val="Times New Roman"/>
      <charset val="134"/>
    </font>
    <font>
      <b/>
      <sz val="20"/>
      <name val="宋体"/>
      <charset val="134"/>
    </font>
    <font>
      <b/>
      <sz val="12"/>
      <color theme="0"/>
      <name val="Times New Roman"/>
      <charset val="134"/>
    </font>
    <font>
      <sz val="12"/>
      <color theme="0"/>
      <name val="Times New Roman"/>
      <charset val="134"/>
    </font>
    <font>
      <sz val="11"/>
      <name val="宋体"/>
      <charset val="134"/>
    </font>
    <font>
      <sz val="11"/>
      <name val="Times New Roman"/>
      <charset val="134"/>
    </font>
    <font>
      <sz val="12"/>
      <color rgb="FF3366FF"/>
      <name val="宋体"/>
      <charset val="134"/>
    </font>
    <font>
      <sz val="12"/>
      <color indexed="48"/>
      <name val="Times New Roman"/>
      <charset val="134"/>
    </font>
    <font>
      <sz val="12"/>
      <color indexed="62"/>
      <name val="Times New Roman"/>
      <charset val="134"/>
    </font>
    <font>
      <sz val="20"/>
      <name val="华文细黑"/>
      <charset val="134"/>
    </font>
    <font>
      <sz val="20"/>
      <color indexed="48"/>
      <name val="华文细黑"/>
      <charset val="134"/>
    </font>
    <font>
      <sz val="12"/>
      <name val="宋体"/>
      <charset val="134"/>
    </font>
    <font>
      <sz val="10.5"/>
      <color indexed="48"/>
      <name val="Times New Roman"/>
      <charset val="134"/>
    </font>
    <font>
      <sz val="12"/>
      <color theme="1"/>
      <name val="宋体"/>
      <charset val="134"/>
    </font>
    <font>
      <sz val="12"/>
      <color theme="1"/>
      <name val="Times New Roman"/>
      <charset val="134"/>
    </font>
    <font>
      <u/>
      <sz val="10"/>
      <color indexed="12"/>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0"/>
      <name val="宋体"/>
      <charset val="134"/>
    </font>
    <font>
      <b/>
      <sz val="20"/>
      <name val="Times New Roman"/>
      <charset val="134"/>
    </font>
    <font>
      <sz val="12"/>
      <color indexed="48"/>
      <name val="宋体"/>
      <charset val="134"/>
    </font>
  </fonts>
  <fills count="40">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theme="8" tint="-0.499984740745262"/>
        <bgColor indexed="64"/>
      </patternFill>
    </fill>
    <fill>
      <patternFill patternType="solid">
        <fgColor indexed="9"/>
        <bgColor indexed="64"/>
      </patternFill>
    </fill>
    <fill>
      <patternFill patternType="solid">
        <fgColor indexed="27"/>
        <bgColor indexed="64"/>
      </patternFill>
    </fill>
    <fill>
      <patternFill patternType="solid">
        <fgColor rgb="FFFFFFD5"/>
        <bgColor indexed="64"/>
      </patternFill>
    </fill>
    <fill>
      <patternFill patternType="solid">
        <fgColor indexe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style="thin">
        <color indexed="9"/>
      </right>
      <top style="thin">
        <color indexed="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9"/>
      </right>
      <top style="thin">
        <color indexed="9"/>
      </top>
      <bottom style="thin">
        <color indexed="9"/>
      </bottom>
      <diagonal/>
    </border>
    <border>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top/>
      <bottom style="thin">
        <color indexed="9"/>
      </bottom>
      <diagonal/>
    </border>
    <border>
      <left style="thin">
        <color indexed="9"/>
      </left>
      <right style="thin">
        <color indexed="9"/>
      </right>
      <top/>
      <bottom style="thin">
        <color indexe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center"/>
    </xf>
    <xf numFmtId="0" fontId="21" fillId="9" borderId="1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4" applyNumberFormat="0" applyFill="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29" fillId="0" borderId="0" applyNumberFormat="0" applyFill="0" applyBorder="0" applyAlignment="0" applyProtection="0">
      <alignment vertical="center"/>
    </xf>
    <xf numFmtId="0" fontId="30" fillId="10" borderId="16" applyNumberFormat="0" applyAlignment="0" applyProtection="0">
      <alignment vertical="center"/>
    </xf>
    <xf numFmtId="0" fontId="31" fillId="11" borderId="17" applyNumberFormat="0" applyAlignment="0" applyProtection="0">
      <alignment vertical="center"/>
    </xf>
    <xf numFmtId="0" fontId="32" fillId="11" borderId="16" applyNumberFormat="0" applyAlignment="0" applyProtection="0">
      <alignment vertical="center"/>
    </xf>
    <xf numFmtId="0" fontId="33" fillId="12" borderId="18" applyNumberFormat="0" applyAlignment="0" applyProtection="0">
      <alignment vertical="center"/>
    </xf>
    <xf numFmtId="0" fontId="34" fillId="0" borderId="19" applyNumberFormat="0" applyFill="0" applyAlignment="0" applyProtection="0">
      <alignment vertical="center"/>
    </xf>
    <xf numFmtId="0" fontId="35" fillId="0" borderId="20" applyNumberFormat="0" applyFill="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cellStyleXfs>
  <cellXfs count="79">
    <xf numFmtId="0" fontId="0" fillId="0" borderId="0" xfId="0">
      <alignment vertical="center"/>
    </xf>
    <xf numFmtId="0" fontId="1" fillId="0" borderId="0" xfId="0" applyFont="1" applyFill="1" applyAlignment="1">
      <alignment vertical="center" wrapText="1"/>
    </xf>
    <xf numFmtId="0" fontId="2" fillId="2" borderId="1" xfId="0" applyNumberFormat="1" applyFont="1" applyFill="1" applyBorder="1" applyAlignment="1">
      <alignment vertical="center"/>
    </xf>
    <xf numFmtId="0" fontId="2" fillId="2" borderId="1" xfId="0" applyNumberFormat="1" applyFont="1" applyFill="1" applyBorder="1" applyAlignment="1">
      <alignment horizontal="center" vertical="center"/>
    </xf>
    <xf numFmtId="0" fontId="2" fillId="0" borderId="1" xfId="0" applyNumberFormat="1" applyFont="1" applyFill="1" applyBorder="1" applyAlignment="1">
      <alignment vertical="center"/>
    </xf>
    <xf numFmtId="0" fontId="3" fillId="0" borderId="1" xfId="0" applyFont="1" applyFill="1" applyBorder="1" applyAlignment="1">
      <alignment vertical="center" wrapText="1"/>
    </xf>
    <xf numFmtId="0" fontId="4" fillId="0" borderId="1" xfId="0" applyNumberFormat="1" applyFont="1" applyFill="1" applyBorder="1" applyAlignment="1">
      <alignment vertical="center"/>
    </xf>
    <xf numFmtId="0" fontId="5" fillId="0" borderId="0" xfId="0" applyNumberFormat="1" applyFont="1" applyAlignment="1" applyProtection="1">
      <alignment vertical="center" wrapText="1"/>
    </xf>
    <xf numFmtId="0" fontId="5" fillId="2" borderId="1" xfId="0" applyNumberFormat="1" applyFont="1" applyFill="1" applyBorder="1" applyAlignment="1" applyProtection="1">
      <alignment wrapText="1"/>
      <protection locked="0"/>
    </xf>
    <xf numFmtId="0" fontId="5" fillId="2" borderId="1" xfId="0" applyNumberFormat="1" applyFont="1" applyFill="1" applyBorder="1" applyAlignment="1" applyProtection="1">
      <alignment horizontal="center" wrapText="1"/>
      <protection locked="0"/>
    </xf>
    <xf numFmtId="0" fontId="5" fillId="2" borderId="0" xfId="0" applyNumberFormat="1" applyFont="1" applyFill="1" applyAlignment="1" applyProtection="1">
      <alignment wrapText="1"/>
    </xf>
    <xf numFmtId="0" fontId="5" fillId="0" borderId="0" xfId="0" applyNumberFormat="1" applyFont="1" applyAlignment="1" applyProtection="1">
      <alignment wrapText="1"/>
    </xf>
    <xf numFmtId="0" fontId="6" fillId="3" borderId="2" xfId="0" applyNumberFormat="1" applyFont="1" applyFill="1" applyBorder="1" applyAlignment="1" applyProtection="1">
      <alignment horizontal="center" vertical="center" wrapText="1"/>
      <protection locked="0"/>
    </xf>
    <xf numFmtId="0" fontId="6" fillId="3" borderId="0" xfId="0" applyNumberFormat="1" applyFont="1" applyFill="1" applyBorder="1" applyAlignment="1" applyProtection="1">
      <alignment horizontal="center" vertical="center" wrapText="1"/>
      <protection locked="0"/>
    </xf>
    <xf numFmtId="0" fontId="0" fillId="3" borderId="0" xfId="0" applyFill="1" applyAlignment="1">
      <alignment vertical="center" wrapText="1"/>
    </xf>
    <xf numFmtId="0" fontId="7" fillId="4" borderId="1" xfId="0" applyNumberFormat="1" applyFont="1" applyFill="1" applyBorder="1" applyAlignment="1" applyProtection="1">
      <alignment horizontal="center" wrapText="1"/>
    </xf>
    <xf numFmtId="0" fontId="8" fillId="4" borderId="0" xfId="0" applyNumberFormat="1" applyFont="1" applyFill="1" applyBorder="1" applyAlignment="1" applyProtection="1">
      <alignment wrapText="1"/>
    </xf>
    <xf numFmtId="0" fontId="9" fillId="2" borderId="1" xfId="0" applyNumberFormat="1" applyFont="1" applyFill="1" applyBorder="1" applyAlignment="1" applyProtection="1">
      <alignment vertical="center" wrapText="1"/>
      <protection locked="0"/>
    </xf>
    <xf numFmtId="0" fontId="9" fillId="2" borderId="1" xfId="0" applyNumberFormat="1" applyFont="1" applyFill="1" applyBorder="1" applyAlignment="1" applyProtection="1">
      <alignment horizontal="center" vertical="center" wrapText="1"/>
      <protection locked="0"/>
    </xf>
    <xf numFmtId="0" fontId="10" fillId="2" borderId="1" xfId="0" applyNumberFormat="1" applyFont="1" applyFill="1" applyBorder="1" applyAlignment="1" applyProtection="1">
      <alignment vertical="center" wrapText="1"/>
      <protection locked="0"/>
    </xf>
    <xf numFmtId="0" fontId="5" fillId="2" borderId="0" xfId="0" applyNumberFormat="1" applyFont="1" applyFill="1" applyBorder="1" applyAlignment="1" applyProtection="1">
      <alignment vertical="center" wrapText="1"/>
    </xf>
    <xf numFmtId="0" fontId="5" fillId="0" borderId="3" xfId="0" applyNumberFormat="1" applyFont="1" applyBorder="1" applyAlignment="1"/>
    <xf numFmtId="0" fontId="0" fillId="5" borderId="3" xfId="0" applyFill="1" applyBorder="1">
      <alignment vertical="center"/>
    </xf>
    <xf numFmtId="0" fontId="0" fillId="0" borderId="3" xfId="0" applyBorder="1">
      <alignment vertical="center"/>
    </xf>
    <xf numFmtId="0" fontId="0" fillId="5" borderId="4" xfId="0" applyFill="1" applyBorder="1">
      <alignment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vertical="center"/>
    </xf>
    <xf numFmtId="0" fontId="0" fillId="5" borderId="0" xfId="0" applyFill="1" applyBorder="1">
      <alignment vertical="center"/>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Border="1">
      <alignment vertical="center"/>
    </xf>
    <xf numFmtId="0" fontId="11"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0" fillId="0" borderId="9" xfId="0" applyBorder="1" applyAlignment="1">
      <alignment horizontal="center" vertical="center" wrapText="1"/>
    </xf>
    <xf numFmtId="0" fontId="12" fillId="0" borderId="6" xfId="0" applyFont="1" applyBorder="1" applyAlignment="1">
      <alignment horizontal="center" vertical="center" wrapText="1"/>
    </xf>
    <xf numFmtId="49" fontId="12"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0" fillId="5" borderId="10" xfId="0" applyFill="1" applyBorder="1">
      <alignment vertical="center"/>
    </xf>
    <xf numFmtId="0" fontId="14"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5" fillId="0" borderId="1" xfId="0" applyFont="1" applyBorder="1" applyAlignment="1">
      <alignment horizontal="left" vertical="top" wrapText="1"/>
    </xf>
    <xf numFmtId="0" fontId="16" fillId="0" borderId="1" xfId="0" applyFont="1" applyBorder="1" applyAlignment="1">
      <alignment horizontal="center" vertical="center" wrapText="1"/>
    </xf>
    <xf numFmtId="0" fontId="5" fillId="0" borderId="1" xfId="0" applyFont="1" applyBorder="1" applyAlignment="1">
      <alignment horizontal="center" vertical="center" wrapText="1"/>
    </xf>
    <xf numFmtId="14" fontId="17" fillId="0" borderId="1" xfId="0" applyNumberFormat="1" applyFont="1" applyBorder="1" applyAlignment="1">
      <alignment horizontal="center" vertical="center" wrapText="1"/>
    </xf>
    <xf numFmtId="0" fontId="5" fillId="5" borderId="6" xfId="0" applyNumberFormat="1" applyFont="1" applyFill="1" applyBorder="1" applyAlignment="1">
      <alignment horizontal="center" vertical="center"/>
    </xf>
    <xf numFmtId="0" fontId="5" fillId="5" borderId="7" xfId="0" applyNumberFormat="1" applyFont="1" applyFill="1" applyBorder="1" applyAlignment="1">
      <alignment horizontal="center" vertical="center"/>
    </xf>
    <xf numFmtId="0" fontId="5" fillId="5" borderId="9" xfId="0" applyNumberFormat="1" applyFont="1" applyFill="1" applyBorder="1" applyAlignment="1">
      <alignment horizontal="center" vertical="center"/>
    </xf>
    <xf numFmtId="0" fontId="5" fillId="6" borderId="1" xfId="0" applyNumberFormat="1" applyFont="1" applyFill="1" applyBorder="1" applyAlignment="1">
      <alignment horizontal="center" wrapText="1"/>
    </xf>
    <xf numFmtId="0" fontId="5" fillId="6" borderId="1" xfId="0" applyNumberFormat="1" applyFont="1" applyFill="1" applyBorder="1" applyAlignment="1">
      <alignment horizontal="centerContinuous" wrapText="1"/>
    </xf>
    <xf numFmtId="176" fontId="12" fillId="7" borderId="1" xfId="0" applyNumberFormat="1" applyFont="1" applyFill="1" applyBorder="1" applyAlignment="1">
      <alignment horizontal="center" vertical="center"/>
    </xf>
    <xf numFmtId="49" fontId="12" fillId="7" borderId="1" xfId="0" applyNumberFormat="1" applyFont="1" applyFill="1" applyBorder="1" applyAlignment="1">
      <alignment horizontal="centerContinuous" vertical="center"/>
    </xf>
    <xf numFmtId="0" fontId="12" fillId="7" borderId="1" xfId="0" applyNumberFormat="1" applyFont="1" applyFill="1" applyBorder="1" applyAlignment="1">
      <alignment horizontal="centerContinuous" vertical="center"/>
    </xf>
    <xf numFmtId="0" fontId="11" fillId="7" borderId="1" xfId="0" applyNumberFormat="1" applyFont="1" applyFill="1" applyBorder="1" applyAlignment="1">
      <alignment horizontal="centerContinuous" vertical="center"/>
    </xf>
    <xf numFmtId="176" fontId="5" fillId="7" borderId="6" xfId="0" applyNumberFormat="1" applyFont="1" applyFill="1" applyBorder="1" applyAlignment="1">
      <alignment horizontal="center" vertical="center"/>
    </xf>
    <xf numFmtId="176" fontId="5" fillId="7" borderId="9" xfId="0" applyNumberFormat="1" applyFont="1" applyFill="1" applyBorder="1" applyAlignment="1">
      <alignment horizontal="center" vertical="center"/>
    </xf>
    <xf numFmtId="49" fontId="5" fillId="7" borderId="1" xfId="0" applyNumberFormat="1" applyFont="1" applyFill="1" applyBorder="1" applyAlignment="1">
      <alignment horizontal="centerContinuous" vertical="center"/>
    </xf>
    <xf numFmtId="0" fontId="12" fillId="7" borderId="1" xfId="0" applyNumberFormat="1" applyFont="1" applyFill="1" applyBorder="1" applyAlignment="1">
      <alignment vertical="center"/>
    </xf>
    <xf numFmtId="0" fontId="0" fillId="0" borderId="1" xfId="0" applyFont="1" applyBorder="1" applyAlignment="1">
      <alignment horizontal="center" vertical="center"/>
    </xf>
    <xf numFmtId="0" fontId="5" fillId="5" borderId="0" xfId="0" applyNumberFormat="1" applyFont="1" applyFill="1" applyBorder="1" applyAlignment="1"/>
    <xf numFmtId="0" fontId="0" fillId="6" borderId="6" xfId="0" applyNumberFormat="1" applyFont="1" applyFill="1" applyBorder="1" applyAlignment="1">
      <alignment horizontal="center"/>
    </xf>
    <xf numFmtId="0" fontId="5" fillId="6" borderId="9" xfId="0" applyNumberFormat="1" applyFont="1" applyFill="1" applyBorder="1" applyAlignment="1">
      <alignment horizontal="center"/>
    </xf>
    <xf numFmtId="0" fontId="0" fillId="6" borderId="1" xfId="0" applyNumberFormat="1" applyFont="1" applyFill="1" applyBorder="1" applyAlignment="1">
      <alignment horizontal="center" vertical="center"/>
    </xf>
    <xf numFmtId="0" fontId="5" fillId="6" borderId="1" xfId="0" applyNumberFormat="1" applyFont="1" applyFill="1" applyBorder="1" applyAlignment="1">
      <alignment horizontal="center" vertical="center"/>
    </xf>
    <xf numFmtId="0" fontId="5" fillId="0" borderId="8" xfId="0" applyNumberFormat="1" applyFont="1" applyBorder="1" applyAlignment="1"/>
    <xf numFmtId="0" fontId="18" fillId="6" borderId="6" xfId="0" applyNumberFormat="1" applyFont="1" applyFill="1" applyBorder="1" applyAlignment="1">
      <alignment horizontal="center"/>
    </xf>
    <xf numFmtId="0" fontId="19" fillId="6" borderId="9" xfId="0" applyNumberFormat="1" applyFont="1" applyFill="1" applyBorder="1" applyAlignment="1">
      <alignment horizontal="center"/>
    </xf>
    <xf numFmtId="0" fontId="5" fillId="8" borderId="1" xfId="0" applyNumberFormat="1" applyFont="1" applyFill="1" applyBorder="1" applyAlignment="1" applyProtection="1">
      <alignment horizontal="center"/>
    </xf>
    <xf numFmtId="10" fontId="5" fillId="8" borderId="1" xfId="0" applyNumberFormat="1" applyFont="1" applyFill="1" applyBorder="1" applyAlignment="1" applyProtection="1">
      <alignment horizontal="center"/>
    </xf>
    <xf numFmtId="0" fontId="0" fillId="6" borderId="9" xfId="0" applyNumberFormat="1" applyFont="1" applyFill="1" applyBorder="1" applyAlignment="1">
      <alignment horizontal="center"/>
    </xf>
    <xf numFmtId="0" fontId="0" fillId="5" borderId="11" xfId="0" applyFill="1" applyBorder="1">
      <alignment vertical="center"/>
    </xf>
    <xf numFmtId="0" fontId="0" fillId="5" borderId="12" xfId="0" applyFill="1" applyBorder="1">
      <alignment vertical="center"/>
    </xf>
    <xf numFmtId="0" fontId="0" fillId="0" borderId="12" xfId="0" applyBorder="1">
      <alignment vertical="center"/>
    </xf>
    <xf numFmtId="0" fontId="20" fillId="0" borderId="3" xfId="6" applyFont="1" applyBorder="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D5"/>
      <color rgb="000066FF"/>
      <color rgb="0066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104775</xdr:colOff>
      <xdr:row>0</xdr:row>
      <xdr:rowOff>0</xdr:rowOff>
    </xdr:from>
    <xdr:to>
      <xdr:col>5</xdr:col>
      <xdr:colOff>2196465</xdr:colOff>
      <xdr:row>0</xdr:row>
      <xdr:rowOff>571500</xdr:rowOff>
    </xdr:to>
    <xdr:pic>
      <xdr:nvPicPr>
        <xdr:cNvPr id="1033" name="图片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6652895" y="0"/>
          <a:ext cx="209169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workbookViewId="0">
      <selection activeCell="H13" sqref="H13"/>
    </sheetView>
  </sheetViews>
  <sheetFormatPr defaultColWidth="9" defaultRowHeight="15"/>
  <cols>
    <col min="1" max="1" width="7.71666666666667" style="22" customWidth="1"/>
    <col min="2" max="2" width="25.2166666666667" style="23" customWidth="1"/>
    <col min="3" max="3" width="7" style="23" customWidth="1"/>
    <col min="4" max="4" width="21.5" style="23" customWidth="1"/>
    <col min="5" max="5" width="24.5" style="23" customWidth="1"/>
    <col min="6" max="6" width="30.1083333333333" style="23" customWidth="1"/>
    <col min="7" max="7" width="17.2166666666667" style="23" customWidth="1"/>
    <col min="8" max="16384" width="9" style="23"/>
  </cols>
  <sheetData>
    <row r="1" ht="51" customHeight="1" spans="1:8">
      <c r="A1" s="24"/>
      <c r="B1" s="25" t="s">
        <v>0</v>
      </c>
      <c r="C1" s="26"/>
      <c r="D1" s="26"/>
      <c r="E1" s="26"/>
      <c r="F1" s="26"/>
      <c r="G1" s="27"/>
    </row>
    <row r="2" ht="31.5" customHeight="1" spans="1:8">
      <c r="A2" s="28"/>
      <c r="B2" s="29" t="s">
        <v>1</v>
      </c>
      <c r="C2" s="30"/>
      <c r="D2" s="30"/>
      <c r="E2" s="25" t="s">
        <v>2</v>
      </c>
      <c r="F2" s="25"/>
      <c r="G2" s="31"/>
    </row>
    <row r="3" ht="23.25" customHeight="1" spans="1:8">
      <c r="A3" s="28"/>
      <c r="B3" s="32" t="s">
        <v>3</v>
      </c>
      <c r="C3" s="33"/>
      <c r="D3" s="34"/>
      <c r="E3" s="35" t="s">
        <v>4</v>
      </c>
      <c r="F3" s="36"/>
      <c r="G3" s="31"/>
    </row>
    <row r="4" ht="30" spans="1:8">
      <c r="A4" s="28"/>
      <c r="B4" s="29" t="s">
        <v>5</v>
      </c>
      <c r="C4" s="37"/>
      <c r="D4" s="29" t="s">
        <v>6</v>
      </c>
      <c r="E4" s="35" t="s">
        <v>7</v>
      </c>
      <c r="F4" s="36"/>
      <c r="G4" s="31"/>
    </row>
    <row r="5" ht="27.75" customHeight="1" spans="1:8">
      <c r="A5" s="28"/>
      <c r="B5" s="38">
        <v>18</v>
      </c>
      <c r="C5" s="34"/>
      <c r="D5" s="39" t="s">
        <v>8</v>
      </c>
      <c r="E5" s="40" t="s">
        <v>9</v>
      </c>
      <c r="F5" s="36"/>
      <c r="G5" s="31"/>
    </row>
    <row r="6" ht="101.25" customHeight="1" spans="1:8">
      <c r="A6" s="41"/>
      <c r="B6" s="42" t="s">
        <v>10</v>
      </c>
      <c r="C6" s="43"/>
      <c r="D6" s="43"/>
      <c r="E6" s="44"/>
      <c r="F6" s="45"/>
      <c r="G6" s="31"/>
    </row>
    <row r="7" ht="30.5" spans="1:8">
      <c r="A7" s="28"/>
      <c r="B7" s="46" t="s">
        <v>11</v>
      </c>
      <c r="C7" s="47" t="s">
        <v>12</v>
      </c>
      <c r="D7" s="48"/>
      <c r="E7" s="46" t="s">
        <v>13</v>
      </c>
      <c r="F7" s="49">
        <v>46231</v>
      </c>
      <c r="G7" s="31"/>
    </row>
    <row r="8" ht="30.5" spans="1:8">
      <c r="A8" s="28"/>
      <c r="B8" s="46" t="s">
        <v>14</v>
      </c>
      <c r="C8" s="47"/>
      <c r="D8" s="48"/>
      <c r="E8" s="46" t="s">
        <v>13</v>
      </c>
      <c r="F8" s="49" t="s">
        <v>15</v>
      </c>
      <c r="G8" s="31"/>
    </row>
    <row r="9" ht="30.5" spans="1:8">
      <c r="A9" s="28"/>
      <c r="B9" s="46" t="s">
        <v>16</v>
      </c>
      <c r="C9" s="48"/>
      <c r="D9" s="48"/>
      <c r="E9" s="46" t="s">
        <v>13</v>
      </c>
      <c r="F9" s="49" t="s">
        <v>15</v>
      </c>
      <c r="G9" s="31"/>
    </row>
    <row r="10" ht="28.5" customHeight="1" spans="1:8">
      <c r="A10" s="28"/>
      <c r="B10" s="50" t="s">
        <v>17</v>
      </c>
      <c r="C10" s="51"/>
      <c r="D10" s="51"/>
      <c r="E10" s="51"/>
      <c r="F10" s="52"/>
      <c r="G10" s="31"/>
      <c r="H10" s="31"/>
    </row>
    <row r="11" ht="31" spans="1:8">
      <c r="A11" s="28"/>
      <c r="B11" s="53" t="s">
        <v>18</v>
      </c>
      <c r="C11" s="53"/>
      <c r="D11" s="53" t="s">
        <v>19</v>
      </c>
      <c r="E11" s="54" t="s">
        <v>20</v>
      </c>
      <c r="F11" s="53" t="s">
        <v>21</v>
      </c>
      <c r="G11" s="31"/>
      <c r="H11" s="31"/>
    </row>
    <row r="12" ht="15.5" spans="1:8">
      <c r="A12" s="28"/>
      <c r="B12" s="55">
        <v>46231</v>
      </c>
      <c r="C12" s="55"/>
      <c r="D12" s="56" t="s">
        <v>22</v>
      </c>
      <c r="E12" s="57" t="s">
        <v>23</v>
      </c>
      <c r="F12" s="58" t="s">
        <v>24</v>
      </c>
      <c r="G12" s="31"/>
      <c r="H12" s="31"/>
    </row>
    <row r="13" ht="15.5" spans="1:8">
      <c r="A13" s="28"/>
      <c r="B13" s="59"/>
      <c r="C13" s="60"/>
      <c r="D13" s="61"/>
      <c r="E13" s="62"/>
      <c r="F13" s="62"/>
      <c r="H13" s="31"/>
    </row>
    <row r="14" ht="15.5" spans="1:8">
      <c r="A14" s="28"/>
      <c r="B14" s="59"/>
      <c r="C14" s="60"/>
      <c r="D14" s="61"/>
      <c r="E14" s="62"/>
      <c r="F14" s="62"/>
      <c r="H14" s="31"/>
    </row>
    <row r="15" ht="15.5" spans="1:8">
      <c r="A15" s="28"/>
      <c r="B15" s="59"/>
      <c r="C15" s="60"/>
      <c r="D15" s="61"/>
      <c r="E15" s="62"/>
      <c r="F15" s="62"/>
      <c r="H15" s="31"/>
    </row>
    <row r="16" ht="15.5" spans="1:8">
      <c r="A16" s="28"/>
      <c r="B16" s="59"/>
      <c r="C16" s="60"/>
      <c r="D16" s="61"/>
      <c r="E16" s="62"/>
      <c r="F16" s="62"/>
      <c r="H16" s="31"/>
    </row>
    <row r="17" ht="15.5" spans="1:9">
      <c r="A17" s="28"/>
      <c r="B17" s="59"/>
      <c r="C17" s="60"/>
      <c r="D17" s="61"/>
      <c r="E17" s="62"/>
      <c r="F17" s="62"/>
      <c r="H17" s="31"/>
    </row>
    <row r="18" ht="28.5" customHeight="1" spans="1:9">
      <c r="A18" s="24"/>
      <c r="B18" s="63" t="s">
        <v>25</v>
      </c>
      <c r="C18" s="63"/>
      <c r="D18" s="63"/>
      <c r="E18" s="63"/>
      <c r="F18" s="63"/>
      <c r="G18" s="31"/>
    </row>
    <row r="19" s="21" customFormat="1" ht="17.25" customHeight="1" spans="1:9">
      <c r="A19" s="64"/>
      <c r="B19" s="65" t="s">
        <v>26</v>
      </c>
      <c r="C19" s="66"/>
      <c r="D19" s="67" t="s">
        <v>27</v>
      </c>
      <c r="E19" s="68" t="s">
        <v>28</v>
      </c>
      <c r="F19" s="67" t="s">
        <v>29</v>
      </c>
      <c r="G19" s="69"/>
      <c r="H19" s="23"/>
      <c r="I19" s="23"/>
    </row>
    <row r="20" s="21" customFormat="1" ht="17.25" customHeight="1" spans="1:9">
      <c r="A20" s="64"/>
      <c r="B20" s="70" t="s">
        <v>30</v>
      </c>
      <c r="C20" s="71"/>
      <c r="D20" s="72">
        <f>COUNTIF('Test Cases'!C:C,B20)</f>
        <v>64</v>
      </c>
      <c r="E20" s="72">
        <f>SUMPRODUCT(('Test Cases'!C:C=B20)*('Test Cases'!J:J="Y"))</f>
        <v>0</v>
      </c>
      <c r="F20" s="73">
        <f>IF(D20,E20/D20,0)</f>
        <v>0</v>
      </c>
      <c r="G20" s="69"/>
      <c r="H20" s="23"/>
      <c r="I20" s="23"/>
    </row>
    <row r="21" s="21" customFormat="1" ht="17.25" customHeight="1" spans="1:9">
      <c r="A21" s="64"/>
      <c r="B21" s="65" t="s">
        <v>31</v>
      </c>
      <c r="C21" s="74"/>
      <c r="D21" s="72">
        <f>COUNTIF('Test Cases'!C:C,B21)</f>
        <v>1</v>
      </c>
      <c r="E21" s="72">
        <f>SUMPRODUCT(('Test Cases'!C:C=B21)*('Test Cases'!J:J="Y"))</f>
        <v>0</v>
      </c>
      <c r="F21" s="73">
        <f>IF(D21,E21/D21,0)</f>
        <v>0</v>
      </c>
      <c r="G21" s="69"/>
      <c r="H21" s="23"/>
      <c r="I21" s="23"/>
    </row>
    <row r="22" s="21" customFormat="1" ht="17.25" customHeight="1" spans="1:9">
      <c r="A22" s="64"/>
      <c r="B22" s="65" t="s">
        <v>32</v>
      </c>
      <c r="C22" s="74"/>
      <c r="D22" s="72">
        <f>COUNTIF('Test Cases'!C:C,B22)</f>
        <v>1</v>
      </c>
      <c r="E22" s="72">
        <f>SUMPRODUCT(('Test Cases'!C:C=B22)*('Test Cases'!J:J="Y"))</f>
        <v>0</v>
      </c>
      <c r="F22" s="73">
        <f>IF(D22,E22/D22,0)</f>
        <v>0</v>
      </c>
      <c r="G22" s="69"/>
      <c r="H22" s="23"/>
      <c r="I22" s="23"/>
    </row>
    <row r="23" s="21" customFormat="1" ht="17.25" customHeight="1" spans="1:9">
      <c r="A23" s="64"/>
      <c r="B23" s="65" t="s">
        <v>33</v>
      </c>
      <c r="C23" s="74"/>
      <c r="D23" s="72">
        <f>COUNTIF('Test Cases'!C:C,B23)</f>
        <v>2</v>
      </c>
      <c r="E23" s="72">
        <f>SUMPRODUCT(('Test Cases'!C:C=B23)*('Test Cases'!J:J="Y"))</f>
        <v>0</v>
      </c>
      <c r="F23" s="73">
        <f>IF(D23,E23/D23,0)</f>
        <v>0</v>
      </c>
      <c r="G23" s="69"/>
      <c r="H23" s="23"/>
      <c r="I23" s="23"/>
    </row>
    <row r="24" s="21" customFormat="1" ht="17.25" customHeight="1" spans="1:9">
      <c r="A24" s="64"/>
      <c r="B24" s="65" t="s">
        <v>34</v>
      </c>
      <c r="C24" s="74"/>
      <c r="D24" s="72">
        <f>COUNTIF('Test Cases'!C:C,B24)</f>
        <v>3</v>
      </c>
      <c r="E24" s="72">
        <f>SUMPRODUCT(('Test Cases'!C:C=B24)*('Test Cases'!J:J="Y"))</f>
        <v>0</v>
      </c>
      <c r="F24" s="73">
        <f>IF(D24,E24/D24,0)</f>
        <v>0</v>
      </c>
      <c r="G24" s="69"/>
      <c r="H24" s="23"/>
      <c r="I24" s="23"/>
    </row>
    <row r="25" s="21" customFormat="1" ht="17.25" customHeight="1" spans="1:9">
      <c r="A25" s="64"/>
      <c r="B25" s="65" t="s">
        <v>35</v>
      </c>
      <c r="C25" s="74"/>
      <c r="D25" s="72">
        <f>COUNTIF('Test Cases'!C:C,B25)</f>
        <v>6</v>
      </c>
      <c r="E25" s="72">
        <f>SUMPRODUCT(('Test Cases'!C:C=B25)*('Test Cases'!J:J="Y"))</f>
        <v>0</v>
      </c>
      <c r="F25" s="73">
        <f>IF(D25,E25/D25,0)</f>
        <v>0</v>
      </c>
      <c r="G25" s="69"/>
      <c r="H25" s="23"/>
      <c r="I25" s="23"/>
    </row>
    <row r="26" s="21" customFormat="1" ht="17.25" customHeight="1" spans="1:9">
      <c r="A26" s="64"/>
      <c r="B26" s="65" t="s">
        <v>36</v>
      </c>
      <c r="C26" s="66"/>
      <c r="D26" s="72">
        <f>COUNTIF('Test Cases'!C:C,B26)</f>
        <v>2</v>
      </c>
      <c r="E26" s="72">
        <f>SUMPRODUCT(('Test Cases'!C:C=B26)*('Test Cases'!J:J="Y"))</f>
        <v>0</v>
      </c>
      <c r="F26" s="73">
        <f>IF(D26,E26/D26,0)</f>
        <v>0</v>
      </c>
      <c r="G26" s="69"/>
    </row>
    <row r="27" ht="15.5" spans="1:9">
      <c r="A27" s="75"/>
      <c r="B27" s="65" t="s">
        <v>37</v>
      </c>
      <c r="C27" s="66"/>
      <c r="D27" s="72">
        <f>SUM(D20:D26)</f>
        <v>79</v>
      </c>
      <c r="E27" s="72">
        <f>COUNTIF('Test Cases'!J:J,"Y")</f>
        <v>0</v>
      </c>
      <c r="F27" s="73">
        <f>IF(D27,E27/D27,0)</f>
        <v>0</v>
      </c>
      <c r="G27" s="31"/>
    </row>
    <row r="28" spans="1:9">
      <c r="A28" s="76"/>
      <c r="B28" s="77"/>
      <c r="C28" s="77"/>
      <c r="D28" s="77"/>
      <c r="E28" s="77"/>
      <c r="F28" s="77"/>
      <c r="G28" s="77"/>
    </row>
    <row r="29" spans="1:9">
      <c r="A29" s="76"/>
      <c r="B29" s="77"/>
      <c r="C29" s="77"/>
      <c r="D29" s="77"/>
      <c r="E29" s="77"/>
      <c r="F29" s="77"/>
      <c r="G29" s="77"/>
    </row>
    <row r="30" spans="1:9">
      <c r="A30" s="76"/>
      <c r="B30" s="77"/>
      <c r="C30" s="77"/>
      <c r="D30" s="77"/>
      <c r="E30" s="77"/>
      <c r="F30" s="77"/>
      <c r="G30" s="77"/>
    </row>
    <row r="31" spans="1:9">
      <c r="B31" s="78" t="s">
        <v>38</v>
      </c>
      <c r="C31" s="78"/>
      <c r="D31" s="78"/>
    </row>
    <row r="32" ht="15.5" spans="1:9">
      <c r="B32" s="78" t="s">
        <v>39</v>
      </c>
      <c r="C32" s="78"/>
      <c r="D32" s="78"/>
      <c r="E32" s="21"/>
      <c r="F32" s="21"/>
    </row>
    <row r="33" ht="15.5" spans="5:6">
      <c r="E33" s="21"/>
      <c r="F33" s="21"/>
    </row>
    <row r="34" ht="15.5" spans="5:6">
      <c r="E34" s="21"/>
      <c r="F34" s="21"/>
    </row>
    <row r="35" ht="15.5" spans="5:6">
      <c r="E35" s="21"/>
      <c r="F35" s="21"/>
    </row>
    <row r="36" ht="15.5" spans="5:6">
      <c r="E36" s="21"/>
      <c r="F36" s="21"/>
    </row>
  </sheetData>
  <mergeCells count="31">
    <mergeCell ref="B1:F1"/>
    <mergeCell ref="B2:D2"/>
    <mergeCell ref="E2:F2"/>
    <mergeCell ref="B3:D3"/>
    <mergeCell ref="E3:F3"/>
    <mergeCell ref="B4:C4"/>
    <mergeCell ref="E4:F4"/>
    <mergeCell ref="B5:C5"/>
    <mergeCell ref="E5:F5"/>
    <mergeCell ref="B6:F6"/>
    <mergeCell ref="C7:D7"/>
    <mergeCell ref="C8:D8"/>
    <mergeCell ref="C9:D9"/>
    <mergeCell ref="B10:F10"/>
    <mergeCell ref="B11:C11"/>
    <mergeCell ref="B12:C12"/>
    <mergeCell ref="B13:C13"/>
    <mergeCell ref="B14:C14"/>
    <mergeCell ref="B15:C15"/>
    <mergeCell ref="B16:C16"/>
    <mergeCell ref="B17:C17"/>
    <mergeCell ref="B18:F18"/>
    <mergeCell ref="B19:C19"/>
    <mergeCell ref="B20:C20"/>
    <mergeCell ref="B21:C21"/>
    <mergeCell ref="B22:C22"/>
    <mergeCell ref="B23:C23"/>
    <mergeCell ref="B24:C24"/>
    <mergeCell ref="B25:C25"/>
    <mergeCell ref="B26:C26"/>
    <mergeCell ref="B27:C27"/>
  </mergeCells>
  <hyperlinks>
    <hyperlink ref="B31" location="'Test Cases'!A1" display="测试用例详情"/>
    <hyperlink ref="B32" location="功能测试用例常用测试项!A1" display="文档帮助"/>
  </hyperlinks>
  <pageMargins left="0.75" right="0.75" top="1" bottom="1" header="0.5" footer="0.5"/>
  <pageSetup paperSize="9" orientation="portrait" verticalDpi="12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3"/>
  <sheetViews>
    <sheetView zoomScale="55" zoomScaleNormal="55" workbookViewId="0">
      <pane xSplit="3" ySplit="4" topLeftCell="D73" activePane="bottomRight" state="frozen"/>
      <selection/>
      <selection pane="topRight"/>
      <selection pane="bottomLeft"/>
      <selection pane="bottomRight" activeCell="A5" sqref="A5:A83"/>
    </sheetView>
  </sheetViews>
  <sheetFormatPr defaultColWidth="13.1083333333333" defaultRowHeight="15.5"/>
  <cols>
    <col min="1" max="1" width="13.7166666666667" style="8" customWidth="1"/>
    <col min="2" max="2" width="9.10833333333333" style="8" customWidth="1"/>
    <col min="3" max="3" width="11.3333333333333" style="8" customWidth="1"/>
    <col min="4" max="4" width="17.7166666666667" style="8" customWidth="1"/>
    <col min="5" max="5" width="11.7166666666667" style="9" customWidth="1"/>
    <col min="6" max="6" width="16.5" style="8" customWidth="1"/>
    <col min="7" max="7" width="21.7166666666667" style="8" customWidth="1"/>
    <col min="8" max="8" width="14.5" style="8" customWidth="1"/>
    <col min="9" max="9" width="15" style="8" customWidth="1"/>
    <col min="10" max="10" width="8.83333333333333" style="8" customWidth="1"/>
    <col min="11" max="11" width="16.5" style="8" customWidth="1"/>
    <col min="12" max="12" width="5" style="10" hidden="1" customWidth="1"/>
    <col min="13" max="13" width="21.5" style="8" customWidth="1"/>
    <col min="14" max="39" width="13.1083333333333" style="11"/>
    <col min="40" max="40" width="13.2166666666667" style="11" customWidth="1"/>
    <col min="41" max="41" width="4.33333333333333" style="11" hidden="1" customWidth="1"/>
    <col min="42" max="16384" width="13.1083333333333" style="11"/>
  </cols>
  <sheetData>
    <row r="1" ht="25.5" customHeight="1" spans="1:13">
      <c r="A1" s="12" t="s">
        <v>40</v>
      </c>
      <c r="B1" s="13"/>
      <c r="C1" s="13"/>
      <c r="D1" s="13"/>
      <c r="E1" s="13"/>
      <c r="F1" s="13"/>
      <c r="G1" s="13"/>
      <c r="H1" s="13"/>
      <c r="I1" s="13"/>
      <c r="J1" s="13"/>
      <c r="K1" s="13"/>
      <c r="L1" s="14"/>
      <c r="M1" s="14"/>
    </row>
    <row r="2" ht="9.6" customHeight="1" spans="1:13">
      <c r="A2" s="12"/>
      <c r="B2" s="13"/>
      <c r="C2" s="13"/>
      <c r="D2" s="13"/>
      <c r="E2" s="13"/>
      <c r="F2" s="13"/>
      <c r="G2" s="13"/>
      <c r="H2" s="13"/>
      <c r="I2" s="13"/>
      <c r="J2" s="13"/>
      <c r="K2" s="13"/>
      <c r="L2" s="14"/>
      <c r="M2" s="14"/>
    </row>
    <row r="3" ht="25.5" customHeight="1" spans="1:13">
      <c r="A3" s="12"/>
      <c r="B3" s="13"/>
      <c r="C3" s="13"/>
      <c r="D3" s="13"/>
      <c r="E3" s="13"/>
      <c r="F3" s="13"/>
      <c r="G3" s="13"/>
      <c r="H3" s="13"/>
      <c r="I3" s="13"/>
      <c r="J3" s="13"/>
      <c r="K3" s="13"/>
      <c r="L3" s="14"/>
      <c r="M3" s="14"/>
    </row>
    <row r="4" ht="45" spans="1:13">
      <c r="A4" s="15" t="s">
        <v>41</v>
      </c>
      <c r="B4" s="15" t="s">
        <v>42</v>
      </c>
      <c r="C4" s="15" t="s">
        <v>43</v>
      </c>
      <c r="D4" s="15" t="s">
        <v>44</v>
      </c>
      <c r="E4" s="15" t="s">
        <v>45</v>
      </c>
      <c r="F4" s="15" t="s">
        <v>46</v>
      </c>
      <c r="G4" s="15" t="s">
        <v>47</v>
      </c>
      <c r="H4" s="15" t="s">
        <v>48</v>
      </c>
      <c r="I4" s="15" t="s">
        <v>49</v>
      </c>
      <c r="J4" s="15" t="s">
        <v>50</v>
      </c>
      <c r="K4" s="15" t="s">
        <v>51</v>
      </c>
      <c r="L4" s="16"/>
      <c r="M4" s="15" t="s">
        <v>52</v>
      </c>
    </row>
    <row r="5" s="7" customFormat="1" ht="70" customHeight="1" spans="1:13">
      <c r="A5" s="17" t="s">
        <v>53</v>
      </c>
      <c r="B5" s="17" t="s">
        <v>54</v>
      </c>
      <c r="C5" s="17" t="s">
        <v>30</v>
      </c>
      <c r="D5" s="17" t="s">
        <v>55</v>
      </c>
      <c r="E5" s="18" t="s">
        <v>56</v>
      </c>
      <c r="F5" s="17" t="s">
        <v>57</v>
      </c>
      <c r="G5" s="17" t="s">
        <v>58</v>
      </c>
      <c r="H5" s="17" t="s">
        <v>59</v>
      </c>
      <c r="I5" s="17"/>
      <c r="J5" s="19"/>
      <c r="K5" s="19"/>
      <c r="L5" s="20" t="s">
        <v>60</v>
      </c>
      <c r="M5" s="19"/>
    </row>
    <row r="6" s="7" customFormat="1" ht="70" spans="1:13">
      <c r="A6" s="17" t="s">
        <v>61</v>
      </c>
      <c r="B6" s="17" t="s">
        <v>54</v>
      </c>
      <c r="C6" s="17" t="s">
        <v>30</v>
      </c>
      <c r="D6" s="17" t="s">
        <v>62</v>
      </c>
      <c r="E6" s="18" t="s">
        <v>63</v>
      </c>
      <c r="F6" s="17" t="s">
        <v>57</v>
      </c>
      <c r="G6" s="17" t="s">
        <v>64</v>
      </c>
      <c r="H6" s="17" t="s">
        <v>65</v>
      </c>
      <c r="I6" s="17"/>
      <c r="J6" s="19"/>
      <c r="K6" s="19"/>
      <c r="L6" s="20" t="s">
        <v>66</v>
      </c>
      <c r="M6" s="19"/>
    </row>
    <row r="7" s="7" customFormat="1" ht="70" customHeight="1" spans="1:13">
      <c r="A7" s="17" t="s">
        <v>67</v>
      </c>
      <c r="B7" s="17" t="s">
        <v>54</v>
      </c>
      <c r="C7" s="17" t="s">
        <v>30</v>
      </c>
      <c r="D7" s="17" t="s">
        <v>68</v>
      </c>
      <c r="E7" s="18" t="s">
        <v>63</v>
      </c>
      <c r="F7" s="17" t="s">
        <v>69</v>
      </c>
      <c r="G7" s="17" t="s">
        <v>58</v>
      </c>
      <c r="H7" s="17" t="s">
        <v>70</v>
      </c>
      <c r="I7" s="17"/>
      <c r="J7" s="19"/>
      <c r="K7" s="19"/>
      <c r="L7" s="20" t="s">
        <v>66</v>
      </c>
      <c r="M7" s="19"/>
    </row>
    <row r="8" s="7" customFormat="1" ht="56" spans="1:13">
      <c r="A8" s="17" t="s">
        <v>71</v>
      </c>
      <c r="B8" s="17" t="s">
        <v>72</v>
      </c>
      <c r="C8" s="17" t="s">
        <v>30</v>
      </c>
      <c r="D8" s="17" t="s">
        <v>73</v>
      </c>
      <c r="E8" s="18" t="s">
        <v>56</v>
      </c>
      <c r="F8" s="17" t="s">
        <v>74</v>
      </c>
      <c r="G8" s="17" t="s">
        <v>75</v>
      </c>
      <c r="H8" s="17" t="s">
        <v>76</v>
      </c>
      <c r="I8" s="17"/>
      <c r="J8" s="19"/>
      <c r="K8" s="19"/>
      <c r="L8" s="20"/>
      <c r="M8" s="19"/>
    </row>
    <row r="9" s="7" customFormat="1" ht="56" customHeight="1" spans="1:13">
      <c r="A9" s="17" t="s">
        <v>77</v>
      </c>
      <c r="B9" s="17" t="s">
        <v>72</v>
      </c>
      <c r="C9" s="17" t="s">
        <v>30</v>
      </c>
      <c r="D9" s="17" t="s">
        <v>78</v>
      </c>
      <c r="E9" s="18" t="s">
        <v>63</v>
      </c>
      <c r="F9" s="17" t="s">
        <v>74</v>
      </c>
      <c r="G9" s="17" t="s">
        <v>79</v>
      </c>
      <c r="H9" s="17" t="s">
        <v>80</v>
      </c>
      <c r="I9" s="17"/>
      <c r="J9" s="19"/>
      <c r="K9" s="19"/>
      <c r="L9" s="20"/>
      <c r="M9" s="19"/>
    </row>
    <row r="10" s="7" customFormat="1" ht="42" spans="1:13">
      <c r="A10" s="17" t="s">
        <v>81</v>
      </c>
      <c r="B10" s="17" t="s">
        <v>72</v>
      </c>
      <c r="C10" s="17" t="s">
        <v>30</v>
      </c>
      <c r="D10" s="17" t="s">
        <v>82</v>
      </c>
      <c r="E10" s="18" t="s">
        <v>63</v>
      </c>
      <c r="F10" s="17" t="s">
        <v>83</v>
      </c>
      <c r="G10" s="17" t="s">
        <v>84</v>
      </c>
      <c r="H10" s="17" t="s">
        <v>80</v>
      </c>
      <c r="I10" s="17"/>
      <c r="J10" s="19"/>
      <c r="K10" s="19"/>
      <c r="L10" s="20"/>
      <c r="M10" s="19"/>
    </row>
    <row r="11" s="7" customFormat="1" ht="28" customHeight="1" spans="1:13">
      <c r="A11" s="17" t="s">
        <v>85</v>
      </c>
      <c r="B11" s="17" t="s">
        <v>72</v>
      </c>
      <c r="C11" s="17" t="s">
        <v>30</v>
      </c>
      <c r="D11" s="17" t="s">
        <v>86</v>
      </c>
      <c r="E11" s="18" t="s">
        <v>87</v>
      </c>
      <c r="F11" s="17" t="s">
        <v>83</v>
      </c>
      <c r="G11" s="17" t="s">
        <v>88</v>
      </c>
      <c r="H11" s="17" t="s">
        <v>89</v>
      </c>
      <c r="I11" s="17"/>
      <c r="J11" s="19"/>
      <c r="K11" s="19"/>
      <c r="L11" s="20" t="s">
        <v>90</v>
      </c>
      <c r="M11" s="19"/>
    </row>
    <row r="12" s="7" customFormat="1" ht="28" spans="1:13">
      <c r="A12" s="17" t="s">
        <v>91</v>
      </c>
      <c r="B12" s="17" t="s">
        <v>92</v>
      </c>
      <c r="C12" s="17" t="s">
        <v>30</v>
      </c>
      <c r="D12" s="17" t="s">
        <v>93</v>
      </c>
      <c r="E12" s="18" t="s">
        <v>56</v>
      </c>
      <c r="F12" s="17" t="s">
        <v>94</v>
      </c>
      <c r="G12" s="17" t="s">
        <v>95</v>
      </c>
      <c r="H12" s="17" t="s">
        <v>96</v>
      </c>
      <c r="I12" s="17"/>
      <c r="J12" s="19"/>
      <c r="K12" s="19"/>
      <c r="L12" s="20"/>
      <c r="M12" s="19"/>
    </row>
    <row r="13" s="7" customFormat="1" ht="42" customHeight="1" spans="1:13">
      <c r="A13" s="17" t="s">
        <v>97</v>
      </c>
      <c r="B13" s="17" t="s">
        <v>92</v>
      </c>
      <c r="C13" s="17" t="s">
        <v>30</v>
      </c>
      <c r="D13" s="17" t="s">
        <v>98</v>
      </c>
      <c r="E13" s="18" t="s">
        <v>56</v>
      </c>
      <c r="F13" s="17" t="s">
        <v>99</v>
      </c>
      <c r="G13" s="17" t="s">
        <v>100</v>
      </c>
      <c r="H13" s="17" t="s">
        <v>101</v>
      </c>
      <c r="I13" s="17"/>
      <c r="J13" s="19"/>
      <c r="K13" s="19"/>
      <c r="L13" s="20"/>
      <c r="M13" s="19"/>
    </row>
    <row r="14" s="7" customFormat="1" ht="56" spans="1:13">
      <c r="A14" s="17" t="s">
        <v>102</v>
      </c>
      <c r="B14" s="17" t="s">
        <v>103</v>
      </c>
      <c r="C14" s="17" t="s">
        <v>30</v>
      </c>
      <c r="D14" s="17" t="s">
        <v>104</v>
      </c>
      <c r="E14" s="18" t="s">
        <v>56</v>
      </c>
      <c r="F14" s="17" t="s">
        <v>105</v>
      </c>
      <c r="G14" s="17" t="s">
        <v>106</v>
      </c>
      <c r="H14" s="17" t="s">
        <v>107</v>
      </c>
      <c r="I14" s="17"/>
      <c r="J14" s="19"/>
      <c r="K14" s="19"/>
      <c r="L14" s="20"/>
      <c r="M14" s="19"/>
    </row>
    <row r="15" s="7" customFormat="1" ht="70" customHeight="1" spans="1:13">
      <c r="A15" s="17" t="s">
        <v>108</v>
      </c>
      <c r="B15" s="17" t="s">
        <v>103</v>
      </c>
      <c r="C15" s="17" t="s">
        <v>30</v>
      </c>
      <c r="D15" s="17" t="s">
        <v>109</v>
      </c>
      <c r="E15" s="18" t="s">
        <v>63</v>
      </c>
      <c r="F15" s="17" t="s">
        <v>110</v>
      </c>
      <c r="G15" s="17" t="s">
        <v>111</v>
      </c>
      <c r="H15" s="17" t="s">
        <v>112</v>
      </c>
      <c r="I15" s="17"/>
      <c r="J15" s="19"/>
      <c r="K15" s="19"/>
      <c r="L15" s="20" t="s">
        <v>90</v>
      </c>
      <c r="M15" s="19"/>
    </row>
    <row r="16" s="7" customFormat="1" ht="42" customHeight="1" spans="1:13">
      <c r="A16" s="17" t="s">
        <v>113</v>
      </c>
      <c r="B16" s="17" t="s">
        <v>114</v>
      </c>
      <c r="C16" s="17" t="s">
        <v>30</v>
      </c>
      <c r="D16" s="17" t="s">
        <v>114</v>
      </c>
      <c r="E16" s="18" t="s">
        <v>56</v>
      </c>
      <c r="F16" s="17" t="s">
        <v>115</v>
      </c>
      <c r="G16" s="17" t="s">
        <v>116</v>
      </c>
      <c r="H16" s="17" t="s">
        <v>117</v>
      </c>
      <c r="I16" s="17"/>
      <c r="J16" s="19"/>
      <c r="K16" s="19"/>
      <c r="L16" s="20" t="s">
        <v>90</v>
      </c>
      <c r="M16" s="19"/>
    </row>
    <row r="17" ht="42" spans="1:8">
      <c r="A17" s="17" t="s">
        <v>118</v>
      </c>
      <c r="B17" s="17" t="s">
        <v>114</v>
      </c>
      <c r="C17" s="17" t="s">
        <v>30</v>
      </c>
      <c r="D17" s="17" t="s">
        <v>119</v>
      </c>
      <c r="E17" s="18" t="s">
        <v>63</v>
      </c>
      <c r="F17" s="17" t="s">
        <v>120</v>
      </c>
      <c r="G17" s="17" t="s">
        <v>121</v>
      </c>
      <c r="H17" s="17" t="s">
        <v>122</v>
      </c>
    </row>
    <row r="18" ht="42" customHeight="1" spans="1:8">
      <c r="A18" s="17" t="s">
        <v>123</v>
      </c>
      <c r="B18" s="17" t="s">
        <v>124</v>
      </c>
      <c r="C18" s="17" t="s">
        <v>30</v>
      </c>
      <c r="D18" s="17" t="s">
        <v>124</v>
      </c>
      <c r="E18" s="18" t="s">
        <v>56</v>
      </c>
      <c r="F18" s="17" t="s">
        <v>115</v>
      </c>
      <c r="G18" s="17" t="s">
        <v>125</v>
      </c>
      <c r="H18" s="17" t="s">
        <v>117</v>
      </c>
    </row>
    <row r="19" ht="56" customHeight="1" spans="1:8">
      <c r="A19" s="17" t="s">
        <v>126</v>
      </c>
      <c r="B19" s="17" t="s">
        <v>127</v>
      </c>
      <c r="C19" s="17" t="s">
        <v>30</v>
      </c>
      <c r="D19" s="17" t="s">
        <v>128</v>
      </c>
      <c r="E19" s="18" t="s">
        <v>56</v>
      </c>
      <c r="F19" s="17" t="s">
        <v>129</v>
      </c>
      <c r="G19" s="17" t="s">
        <v>130</v>
      </c>
      <c r="H19" s="17" t="s">
        <v>131</v>
      </c>
    </row>
    <row r="20" ht="42" spans="1:8">
      <c r="A20" s="17" t="s">
        <v>132</v>
      </c>
      <c r="B20" s="17" t="s">
        <v>133</v>
      </c>
      <c r="C20" s="17" t="s">
        <v>30</v>
      </c>
      <c r="D20" s="17" t="s">
        <v>134</v>
      </c>
      <c r="E20" s="18" t="s">
        <v>63</v>
      </c>
      <c r="F20" s="17" t="s">
        <v>135</v>
      </c>
      <c r="G20" s="17" t="s">
        <v>136</v>
      </c>
      <c r="H20" s="17" t="s">
        <v>137</v>
      </c>
    </row>
    <row r="21" ht="56" customHeight="1" spans="1:8">
      <c r="A21" s="17" t="s">
        <v>138</v>
      </c>
      <c r="B21" s="17" t="s">
        <v>139</v>
      </c>
      <c r="C21" s="17" t="s">
        <v>30</v>
      </c>
      <c r="D21" s="17" t="s">
        <v>140</v>
      </c>
      <c r="E21" s="18" t="s">
        <v>56</v>
      </c>
      <c r="F21" s="17" t="s">
        <v>141</v>
      </c>
      <c r="G21" s="17" t="s">
        <v>142</v>
      </c>
      <c r="H21" s="17" t="s">
        <v>143</v>
      </c>
    </row>
    <row r="22" ht="28" spans="1:8">
      <c r="A22" s="17" t="s">
        <v>144</v>
      </c>
      <c r="B22" s="17" t="s">
        <v>139</v>
      </c>
      <c r="C22" s="17" t="s">
        <v>30</v>
      </c>
      <c r="D22" s="17" t="s">
        <v>145</v>
      </c>
      <c r="E22" s="18" t="s">
        <v>63</v>
      </c>
      <c r="F22" s="17" t="s">
        <v>94</v>
      </c>
      <c r="G22" s="17" t="s">
        <v>146</v>
      </c>
      <c r="H22" s="17" t="s">
        <v>147</v>
      </c>
    </row>
    <row r="23" ht="98" customHeight="1" spans="1:8">
      <c r="A23" s="17" t="s">
        <v>148</v>
      </c>
      <c r="B23" s="17" t="s">
        <v>149</v>
      </c>
      <c r="C23" s="17" t="s">
        <v>30</v>
      </c>
      <c r="D23" s="17" t="s">
        <v>150</v>
      </c>
      <c r="E23" s="18" t="s">
        <v>56</v>
      </c>
      <c r="F23" s="17" t="s">
        <v>94</v>
      </c>
      <c r="G23" s="17" t="s">
        <v>151</v>
      </c>
      <c r="H23" s="17" t="s">
        <v>152</v>
      </c>
    </row>
    <row r="24" ht="56" spans="1:8">
      <c r="A24" s="17" t="s">
        <v>153</v>
      </c>
      <c r="B24" s="17" t="s">
        <v>149</v>
      </c>
      <c r="C24" s="17" t="s">
        <v>30</v>
      </c>
      <c r="D24" s="17" t="s">
        <v>154</v>
      </c>
      <c r="E24" s="18" t="s">
        <v>56</v>
      </c>
      <c r="F24" s="17" t="s">
        <v>94</v>
      </c>
      <c r="G24" s="17" t="s">
        <v>155</v>
      </c>
      <c r="H24" s="17" t="s">
        <v>156</v>
      </c>
    </row>
    <row r="25" ht="56" spans="1:8">
      <c r="A25" s="17" t="s">
        <v>157</v>
      </c>
      <c r="B25" s="17" t="s">
        <v>158</v>
      </c>
      <c r="C25" s="17" t="s">
        <v>30</v>
      </c>
      <c r="D25" s="17" t="s">
        <v>159</v>
      </c>
      <c r="E25" s="18" t="s">
        <v>56</v>
      </c>
      <c r="F25" s="17" t="s">
        <v>160</v>
      </c>
      <c r="G25" s="17" t="s">
        <v>161</v>
      </c>
      <c r="H25" s="17" t="s">
        <v>162</v>
      </c>
    </row>
    <row r="26" ht="42" spans="1:8">
      <c r="A26" s="17" t="s">
        <v>163</v>
      </c>
      <c r="B26" s="17" t="s">
        <v>158</v>
      </c>
      <c r="C26" s="17" t="s">
        <v>30</v>
      </c>
      <c r="D26" s="17" t="s">
        <v>164</v>
      </c>
      <c r="E26" s="18" t="s">
        <v>56</v>
      </c>
      <c r="F26" s="17" t="s">
        <v>165</v>
      </c>
      <c r="G26" s="17" t="s">
        <v>166</v>
      </c>
      <c r="H26" s="17" t="s">
        <v>167</v>
      </c>
    </row>
    <row r="27" ht="28" spans="1:8">
      <c r="A27" s="17" t="s">
        <v>168</v>
      </c>
      <c r="B27" s="17" t="s">
        <v>169</v>
      </c>
      <c r="C27" s="17" t="s">
        <v>30</v>
      </c>
      <c r="D27" s="17" t="s">
        <v>170</v>
      </c>
      <c r="E27" s="18" t="s">
        <v>63</v>
      </c>
      <c r="F27" s="17" t="s">
        <v>171</v>
      </c>
      <c r="G27" s="17" t="s">
        <v>172</v>
      </c>
      <c r="H27" s="17" t="s">
        <v>173</v>
      </c>
    </row>
    <row r="28" ht="42" spans="1:8">
      <c r="A28" s="17" t="s">
        <v>174</v>
      </c>
      <c r="B28" s="17" t="s">
        <v>175</v>
      </c>
      <c r="C28" s="17" t="s">
        <v>30</v>
      </c>
      <c r="D28" s="17" t="s">
        <v>176</v>
      </c>
      <c r="E28" s="18" t="s">
        <v>63</v>
      </c>
      <c r="F28" s="17" t="s">
        <v>177</v>
      </c>
      <c r="G28" s="17" t="s">
        <v>178</v>
      </c>
      <c r="H28" s="17" t="s">
        <v>179</v>
      </c>
    </row>
    <row r="29" ht="70" spans="1:8">
      <c r="A29" s="17" t="s">
        <v>180</v>
      </c>
      <c r="B29" s="17" t="s">
        <v>181</v>
      </c>
      <c r="C29" s="17" t="s">
        <v>30</v>
      </c>
      <c r="D29" s="17" t="s">
        <v>182</v>
      </c>
      <c r="E29" s="18" t="s">
        <v>56</v>
      </c>
      <c r="F29" s="17" t="s">
        <v>183</v>
      </c>
      <c r="G29" s="17" t="s">
        <v>184</v>
      </c>
      <c r="H29" s="17" t="s">
        <v>185</v>
      </c>
    </row>
    <row r="30" ht="42" spans="1:8">
      <c r="A30" s="17" t="s">
        <v>186</v>
      </c>
      <c r="B30" s="17" t="s">
        <v>181</v>
      </c>
      <c r="C30" s="17" t="s">
        <v>30</v>
      </c>
      <c r="D30" s="17" t="s">
        <v>187</v>
      </c>
      <c r="E30" s="18" t="s">
        <v>56</v>
      </c>
      <c r="F30" s="17" t="s">
        <v>188</v>
      </c>
      <c r="G30" s="17" t="s">
        <v>189</v>
      </c>
      <c r="H30" s="17" t="s">
        <v>190</v>
      </c>
    </row>
    <row r="31" ht="42" spans="1:8">
      <c r="A31" s="17" t="s">
        <v>191</v>
      </c>
      <c r="B31" s="17" t="s">
        <v>192</v>
      </c>
      <c r="C31" s="17" t="s">
        <v>30</v>
      </c>
      <c r="D31" s="17" t="s">
        <v>193</v>
      </c>
      <c r="E31" s="18" t="s">
        <v>56</v>
      </c>
      <c r="F31" s="17" t="s">
        <v>194</v>
      </c>
      <c r="G31" s="17" t="s">
        <v>195</v>
      </c>
      <c r="H31" s="17" t="s">
        <v>196</v>
      </c>
    </row>
    <row r="32" ht="42" spans="1:8">
      <c r="A32" s="17" t="s">
        <v>197</v>
      </c>
      <c r="B32" s="17" t="s">
        <v>192</v>
      </c>
      <c r="C32" s="17" t="s">
        <v>30</v>
      </c>
      <c r="D32" s="17" t="s">
        <v>198</v>
      </c>
      <c r="E32" s="18" t="s">
        <v>56</v>
      </c>
      <c r="F32" s="17" t="s">
        <v>199</v>
      </c>
      <c r="G32" s="17" t="s">
        <v>200</v>
      </c>
      <c r="H32" s="17" t="s">
        <v>201</v>
      </c>
    </row>
    <row r="33" ht="28" spans="1:8">
      <c r="A33" s="17" t="s">
        <v>202</v>
      </c>
      <c r="B33" s="17" t="s">
        <v>203</v>
      </c>
      <c r="C33" s="17" t="s">
        <v>30</v>
      </c>
      <c r="D33" s="17" t="s">
        <v>204</v>
      </c>
      <c r="E33" s="18" t="s">
        <v>63</v>
      </c>
      <c r="F33" s="17" t="s">
        <v>182</v>
      </c>
      <c r="G33" s="17" t="s">
        <v>205</v>
      </c>
      <c r="H33" s="17" t="s">
        <v>206</v>
      </c>
    </row>
    <row r="34" ht="28" spans="1:8">
      <c r="A34" s="17" t="s">
        <v>207</v>
      </c>
      <c r="B34" s="17" t="s">
        <v>203</v>
      </c>
      <c r="C34" s="17" t="s">
        <v>30</v>
      </c>
      <c r="D34" s="17" t="s">
        <v>208</v>
      </c>
      <c r="E34" s="18" t="s">
        <v>63</v>
      </c>
      <c r="F34" s="17" t="s">
        <v>209</v>
      </c>
      <c r="G34" s="17" t="s">
        <v>210</v>
      </c>
      <c r="H34" s="17" t="s">
        <v>211</v>
      </c>
    </row>
    <row r="35" ht="42" spans="1:8">
      <c r="A35" s="17" t="s">
        <v>212</v>
      </c>
      <c r="B35" s="17" t="s">
        <v>213</v>
      </c>
      <c r="C35" s="17" t="s">
        <v>30</v>
      </c>
      <c r="D35" s="17" t="s">
        <v>214</v>
      </c>
      <c r="E35" s="18" t="s">
        <v>56</v>
      </c>
      <c r="F35" s="17" t="s">
        <v>215</v>
      </c>
      <c r="G35" s="17" t="s">
        <v>216</v>
      </c>
      <c r="H35" s="17" t="s">
        <v>217</v>
      </c>
    </row>
    <row r="36" ht="28" spans="1:8">
      <c r="A36" s="17" t="s">
        <v>218</v>
      </c>
      <c r="B36" s="17" t="s">
        <v>219</v>
      </c>
      <c r="C36" s="17" t="s">
        <v>30</v>
      </c>
      <c r="D36" s="17" t="s">
        <v>220</v>
      </c>
      <c r="E36" s="18" t="s">
        <v>56</v>
      </c>
      <c r="F36" s="17" t="s">
        <v>221</v>
      </c>
      <c r="G36" s="17" t="s">
        <v>222</v>
      </c>
      <c r="H36" s="17" t="s">
        <v>223</v>
      </c>
    </row>
    <row r="37" ht="42" spans="1:8">
      <c r="A37" s="17" t="s">
        <v>224</v>
      </c>
      <c r="B37" s="17" t="s">
        <v>219</v>
      </c>
      <c r="C37" s="17" t="s">
        <v>30</v>
      </c>
      <c r="D37" s="17" t="s">
        <v>225</v>
      </c>
      <c r="E37" s="18" t="s">
        <v>56</v>
      </c>
      <c r="F37" s="17" t="s">
        <v>226</v>
      </c>
      <c r="G37" s="17" t="s">
        <v>227</v>
      </c>
      <c r="H37" s="17" t="s">
        <v>228</v>
      </c>
    </row>
    <row r="38" ht="28" spans="1:8">
      <c r="A38" s="17" t="s">
        <v>229</v>
      </c>
      <c r="B38" s="17" t="s">
        <v>219</v>
      </c>
      <c r="C38" s="17" t="s">
        <v>30</v>
      </c>
      <c r="D38" s="17" t="s">
        <v>230</v>
      </c>
      <c r="E38" s="18" t="s">
        <v>63</v>
      </c>
      <c r="F38" s="17" t="s">
        <v>221</v>
      </c>
      <c r="G38" s="17" t="s">
        <v>231</v>
      </c>
      <c r="H38" s="17" t="s">
        <v>232</v>
      </c>
    </row>
    <row r="39" ht="28" spans="1:8">
      <c r="A39" s="17" t="s">
        <v>233</v>
      </c>
      <c r="B39" s="17" t="s">
        <v>219</v>
      </c>
      <c r="C39" s="17" t="s">
        <v>30</v>
      </c>
      <c r="D39" s="17" t="s">
        <v>234</v>
      </c>
      <c r="E39" s="18" t="s">
        <v>63</v>
      </c>
      <c r="F39" s="17" t="s">
        <v>235</v>
      </c>
      <c r="G39" s="17" t="s">
        <v>236</v>
      </c>
      <c r="H39" s="17" t="s">
        <v>237</v>
      </c>
    </row>
    <row r="40" ht="42" spans="1:8">
      <c r="A40" s="17" t="s">
        <v>238</v>
      </c>
      <c r="B40" s="17" t="s">
        <v>239</v>
      </c>
      <c r="C40" s="17" t="s">
        <v>30</v>
      </c>
      <c r="D40" s="17" t="s">
        <v>240</v>
      </c>
      <c r="E40" s="18" t="s">
        <v>56</v>
      </c>
      <c r="F40" s="17" t="s">
        <v>241</v>
      </c>
      <c r="G40" s="17" t="s">
        <v>242</v>
      </c>
      <c r="H40" s="17" t="s">
        <v>243</v>
      </c>
    </row>
    <row r="41" ht="28" spans="1:8">
      <c r="A41" s="17" t="s">
        <v>244</v>
      </c>
      <c r="B41" s="17" t="s">
        <v>239</v>
      </c>
      <c r="C41" s="17" t="s">
        <v>30</v>
      </c>
      <c r="D41" s="17" t="s">
        <v>245</v>
      </c>
      <c r="E41" s="18" t="s">
        <v>63</v>
      </c>
      <c r="F41" s="17" t="s">
        <v>246</v>
      </c>
      <c r="G41" s="17" t="s">
        <v>242</v>
      </c>
      <c r="H41" s="17" t="s">
        <v>247</v>
      </c>
    </row>
    <row r="42" ht="42" spans="1:8">
      <c r="A42" s="17" t="s">
        <v>248</v>
      </c>
      <c r="B42" s="17" t="s">
        <v>239</v>
      </c>
      <c r="C42" s="17" t="s">
        <v>30</v>
      </c>
      <c r="D42" s="17" t="s">
        <v>249</v>
      </c>
      <c r="E42" s="18" t="s">
        <v>56</v>
      </c>
      <c r="F42" s="17" t="s">
        <v>250</v>
      </c>
      <c r="G42" s="17" t="s">
        <v>251</v>
      </c>
      <c r="H42" s="17" t="s">
        <v>252</v>
      </c>
    </row>
    <row r="43" ht="28" spans="1:8">
      <c r="A43" s="17" t="s">
        <v>253</v>
      </c>
      <c r="B43" s="17" t="s">
        <v>254</v>
      </c>
      <c r="C43" s="17" t="s">
        <v>30</v>
      </c>
      <c r="D43" s="17" t="s">
        <v>255</v>
      </c>
      <c r="E43" s="18" t="s">
        <v>56</v>
      </c>
      <c r="F43" s="17" t="s">
        <v>256</v>
      </c>
      <c r="G43" s="17" t="s">
        <v>257</v>
      </c>
      <c r="H43" s="17" t="s">
        <v>258</v>
      </c>
    </row>
    <row r="44" ht="28" spans="1:8">
      <c r="A44" s="17" t="s">
        <v>259</v>
      </c>
      <c r="B44" s="17" t="s">
        <v>254</v>
      </c>
      <c r="C44" s="17" t="s">
        <v>30</v>
      </c>
      <c r="D44" s="17" t="s">
        <v>260</v>
      </c>
      <c r="E44" s="18" t="s">
        <v>63</v>
      </c>
      <c r="F44" s="17" t="s">
        <v>261</v>
      </c>
      <c r="G44" s="17" t="s">
        <v>262</v>
      </c>
      <c r="H44" s="17" t="s">
        <v>263</v>
      </c>
    </row>
    <row r="45" ht="42" spans="1:8">
      <c r="A45" s="17" t="s">
        <v>264</v>
      </c>
      <c r="B45" s="17" t="s">
        <v>254</v>
      </c>
      <c r="C45" s="17" t="s">
        <v>30</v>
      </c>
      <c r="D45" s="17" t="s">
        <v>265</v>
      </c>
      <c r="E45" s="18" t="s">
        <v>63</v>
      </c>
      <c r="F45" s="17" t="s">
        <v>266</v>
      </c>
      <c r="G45" s="17" t="s">
        <v>267</v>
      </c>
      <c r="H45" s="17" t="s">
        <v>268</v>
      </c>
    </row>
    <row r="46" ht="28" spans="1:8">
      <c r="A46" s="17" t="s">
        <v>269</v>
      </c>
      <c r="B46" s="17" t="s">
        <v>254</v>
      </c>
      <c r="C46" s="17" t="s">
        <v>30</v>
      </c>
      <c r="D46" s="17" t="s">
        <v>270</v>
      </c>
      <c r="E46" s="18" t="s">
        <v>63</v>
      </c>
      <c r="F46" s="17" t="s">
        <v>261</v>
      </c>
      <c r="G46" s="17" t="s">
        <v>271</v>
      </c>
      <c r="H46" s="17" t="s">
        <v>272</v>
      </c>
    </row>
    <row r="47" ht="28" spans="1:8">
      <c r="A47" s="17" t="s">
        <v>273</v>
      </c>
      <c r="B47" s="17" t="s">
        <v>254</v>
      </c>
      <c r="C47" s="17" t="s">
        <v>30</v>
      </c>
      <c r="D47" s="17" t="s">
        <v>274</v>
      </c>
      <c r="E47" s="18" t="s">
        <v>63</v>
      </c>
      <c r="F47" s="17" t="s">
        <v>275</v>
      </c>
      <c r="G47" s="17" t="s">
        <v>276</v>
      </c>
      <c r="H47" s="17" t="s">
        <v>277</v>
      </c>
    </row>
    <row r="48" ht="56" spans="1:8">
      <c r="A48" s="17" t="s">
        <v>278</v>
      </c>
      <c r="B48" s="17" t="s">
        <v>279</v>
      </c>
      <c r="C48" s="17" t="s">
        <v>30</v>
      </c>
      <c r="D48" s="17" t="s">
        <v>280</v>
      </c>
      <c r="E48" s="18" t="s">
        <v>56</v>
      </c>
      <c r="F48" s="17" t="s">
        <v>94</v>
      </c>
      <c r="G48" s="17" t="s">
        <v>281</v>
      </c>
      <c r="H48" s="17" t="s">
        <v>282</v>
      </c>
    </row>
    <row r="49" ht="28" spans="1:8">
      <c r="A49" s="17" t="s">
        <v>283</v>
      </c>
      <c r="B49" s="17" t="s">
        <v>279</v>
      </c>
      <c r="C49" s="17" t="s">
        <v>30</v>
      </c>
      <c r="D49" s="17" t="s">
        <v>284</v>
      </c>
      <c r="E49" s="18" t="s">
        <v>56</v>
      </c>
      <c r="F49" s="17" t="s">
        <v>94</v>
      </c>
      <c r="G49" s="17" t="s">
        <v>285</v>
      </c>
      <c r="H49" s="17" t="s">
        <v>286</v>
      </c>
    </row>
    <row r="50" ht="28" spans="1:8">
      <c r="A50" s="17" t="s">
        <v>287</v>
      </c>
      <c r="B50" s="17" t="s">
        <v>279</v>
      </c>
      <c r="C50" s="17" t="s">
        <v>30</v>
      </c>
      <c r="D50" s="17" t="s">
        <v>288</v>
      </c>
      <c r="E50" s="18" t="s">
        <v>56</v>
      </c>
      <c r="F50" s="17" t="s">
        <v>289</v>
      </c>
      <c r="G50" s="17" t="s">
        <v>290</v>
      </c>
      <c r="H50" s="17" t="s">
        <v>291</v>
      </c>
    </row>
    <row r="51" ht="28" spans="1:8">
      <c r="A51" s="17" t="s">
        <v>292</v>
      </c>
      <c r="B51" s="17" t="s">
        <v>293</v>
      </c>
      <c r="C51" s="17" t="s">
        <v>30</v>
      </c>
      <c r="D51" s="17" t="s">
        <v>294</v>
      </c>
      <c r="E51" s="18" t="s">
        <v>56</v>
      </c>
      <c r="F51" s="17" t="s">
        <v>295</v>
      </c>
      <c r="G51" s="17" t="s">
        <v>296</v>
      </c>
      <c r="H51" s="17" t="s">
        <v>297</v>
      </c>
    </row>
    <row r="52" ht="28" spans="1:8">
      <c r="A52" s="17" t="s">
        <v>298</v>
      </c>
      <c r="B52" s="17" t="s">
        <v>293</v>
      </c>
      <c r="C52" s="17" t="s">
        <v>30</v>
      </c>
      <c r="D52" s="17" t="s">
        <v>299</v>
      </c>
      <c r="E52" s="18" t="s">
        <v>63</v>
      </c>
      <c r="F52" s="17" t="s">
        <v>295</v>
      </c>
      <c r="G52" s="17" t="s">
        <v>300</v>
      </c>
      <c r="H52" s="17" t="s">
        <v>301</v>
      </c>
    </row>
    <row r="53" ht="56" spans="1:8">
      <c r="A53" s="17" t="s">
        <v>302</v>
      </c>
      <c r="B53" s="17" t="s">
        <v>303</v>
      </c>
      <c r="C53" s="17" t="s">
        <v>30</v>
      </c>
      <c r="D53" s="17" t="s">
        <v>304</v>
      </c>
      <c r="E53" s="18" t="s">
        <v>56</v>
      </c>
      <c r="F53" s="17" t="s">
        <v>94</v>
      </c>
      <c r="G53" s="17" t="s">
        <v>305</v>
      </c>
      <c r="H53" s="17" t="s">
        <v>306</v>
      </c>
    </row>
    <row r="54" ht="42" spans="1:8">
      <c r="A54" s="17" t="s">
        <v>307</v>
      </c>
      <c r="B54" s="17" t="s">
        <v>303</v>
      </c>
      <c r="C54" s="17" t="s">
        <v>30</v>
      </c>
      <c r="D54" s="17" t="s">
        <v>308</v>
      </c>
      <c r="E54" s="18" t="s">
        <v>63</v>
      </c>
      <c r="F54" s="17" t="s">
        <v>94</v>
      </c>
      <c r="G54" s="17" t="s">
        <v>309</v>
      </c>
      <c r="H54" s="17" t="s">
        <v>310</v>
      </c>
    </row>
    <row r="55" ht="56" spans="1:8">
      <c r="A55" s="17" t="s">
        <v>311</v>
      </c>
      <c r="B55" s="17" t="s">
        <v>312</v>
      </c>
      <c r="C55" s="17" t="s">
        <v>30</v>
      </c>
      <c r="D55" s="17" t="s">
        <v>313</v>
      </c>
      <c r="E55" s="18" t="s">
        <v>56</v>
      </c>
      <c r="F55" s="17" t="s">
        <v>314</v>
      </c>
      <c r="G55" s="17" t="s">
        <v>315</v>
      </c>
      <c r="H55" s="17" t="s">
        <v>306</v>
      </c>
    </row>
    <row r="56" ht="42" spans="1:8">
      <c r="A56" s="17" t="s">
        <v>316</v>
      </c>
      <c r="B56" s="17" t="s">
        <v>312</v>
      </c>
      <c r="C56" s="17" t="s">
        <v>30</v>
      </c>
      <c r="D56" s="17" t="s">
        <v>317</v>
      </c>
      <c r="E56" s="18" t="s">
        <v>63</v>
      </c>
      <c r="F56" s="17" t="s">
        <v>94</v>
      </c>
      <c r="G56" s="17" t="s">
        <v>318</v>
      </c>
      <c r="H56" s="17" t="s">
        <v>319</v>
      </c>
    </row>
    <row r="57" ht="42" spans="1:8">
      <c r="A57" s="17" t="s">
        <v>320</v>
      </c>
      <c r="B57" s="17" t="s">
        <v>321</v>
      </c>
      <c r="C57" s="17" t="s">
        <v>30</v>
      </c>
      <c r="D57" s="17" t="s">
        <v>322</v>
      </c>
      <c r="E57" s="18" t="s">
        <v>63</v>
      </c>
      <c r="F57" s="17" t="s">
        <v>323</v>
      </c>
      <c r="G57" s="17" t="s">
        <v>324</v>
      </c>
      <c r="H57" s="17" t="s">
        <v>325</v>
      </c>
    </row>
    <row r="58" ht="42" spans="1:8">
      <c r="A58" s="17" t="s">
        <v>326</v>
      </c>
      <c r="B58" s="17" t="s">
        <v>321</v>
      </c>
      <c r="C58" s="17" t="s">
        <v>30</v>
      </c>
      <c r="D58" s="17" t="s">
        <v>327</v>
      </c>
      <c r="E58" s="18" t="s">
        <v>63</v>
      </c>
      <c r="F58" s="17" t="s">
        <v>328</v>
      </c>
      <c r="G58" s="17" t="s">
        <v>329</v>
      </c>
      <c r="H58" s="17" t="s">
        <v>330</v>
      </c>
    </row>
    <row r="59" ht="56" spans="1:8">
      <c r="A59" s="17" t="s">
        <v>331</v>
      </c>
      <c r="B59" s="17" t="s">
        <v>332</v>
      </c>
      <c r="C59" s="17" t="s">
        <v>30</v>
      </c>
      <c r="D59" s="17" t="s">
        <v>333</v>
      </c>
      <c r="E59" s="18" t="s">
        <v>63</v>
      </c>
      <c r="F59" s="17" t="s">
        <v>334</v>
      </c>
      <c r="G59" s="17" t="s">
        <v>335</v>
      </c>
      <c r="H59" s="17" t="s">
        <v>336</v>
      </c>
    </row>
    <row r="60" ht="42" spans="1:8">
      <c r="A60" s="17" t="s">
        <v>337</v>
      </c>
      <c r="B60" s="17" t="s">
        <v>338</v>
      </c>
      <c r="C60" s="17" t="s">
        <v>30</v>
      </c>
      <c r="D60" s="17" t="s">
        <v>339</v>
      </c>
      <c r="E60" s="18" t="s">
        <v>56</v>
      </c>
      <c r="F60" s="17" t="s">
        <v>340</v>
      </c>
      <c r="G60" s="17" t="s">
        <v>341</v>
      </c>
      <c r="H60" s="17" t="s">
        <v>342</v>
      </c>
    </row>
    <row r="61" ht="56" spans="1:8">
      <c r="A61" s="17" t="s">
        <v>343</v>
      </c>
      <c r="B61" s="17" t="s">
        <v>338</v>
      </c>
      <c r="C61" s="17" t="s">
        <v>30</v>
      </c>
      <c r="D61" s="17" t="s">
        <v>344</v>
      </c>
      <c r="E61" s="18" t="s">
        <v>63</v>
      </c>
      <c r="F61" s="17" t="s">
        <v>345</v>
      </c>
      <c r="G61" s="17" t="s">
        <v>346</v>
      </c>
      <c r="H61" s="17" t="s">
        <v>347</v>
      </c>
    </row>
    <row r="62" ht="28" spans="1:8">
      <c r="A62" s="17" t="s">
        <v>348</v>
      </c>
      <c r="B62" s="17" t="s">
        <v>338</v>
      </c>
      <c r="C62" s="17" t="s">
        <v>30</v>
      </c>
      <c r="D62" s="17" t="s">
        <v>349</v>
      </c>
      <c r="E62" s="18" t="s">
        <v>56</v>
      </c>
      <c r="F62" s="17" t="s">
        <v>350</v>
      </c>
      <c r="G62" s="17" t="s">
        <v>351</v>
      </c>
      <c r="H62" s="17" t="s">
        <v>352</v>
      </c>
    </row>
    <row r="63" ht="56" spans="1:8">
      <c r="A63" s="17" t="s">
        <v>353</v>
      </c>
      <c r="B63" s="17" t="s">
        <v>338</v>
      </c>
      <c r="C63" s="17" t="s">
        <v>30</v>
      </c>
      <c r="D63" s="17" t="s">
        <v>354</v>
      </c>
      <c r="E63" s="18" t="s">
        <v>63</v>
      </c>
      <c r="F63" s="17" t="s">
        <v>355</v>
      </c>
      <c r="G63" s="17" t="s">
        <v>356</v>
      </c>
      <c r="H63" s="17" t="s">
        <v>357</v>
      </c>
    </row>
    <row r="64" ht="70" spans="1:8">
      <c r="A64" s="17" t="s">
        <v>358</v>
      </c>
      <c r="B64" s="17" t="s">
        <v>359</v>
      </c>
      <c r="C64" s="17" t="s">
        <v>30</v>
      </c>
      <c r="D64" s="17" t="s">
        <v>360</v>
      </c>
      <c r="E64" s="18" t="s">
        <v>56</v>
      </c>
      <c r="F64" s="17" t="s">
        <v>361</v>
      </c>
      <c r="G64" s="17" t="s">
        <v>362</v>
      </c>
      <c r="H64" s="17" t="s">
        <v>363</v>
      </c>
    </row>
    <row r="65" ht="42" spans="1:8">
      <c r="A65" s="17" t="s">
        <v>364</v>
      </c>
      <c r="B65" s="17" t="s">
        <v>359</v>
      </c>
      <c r="C65" s="17" t="s">
        <v>30</v>
      </c>
      <c r="D65" s="17" t="s">
        <v>365</v>
      </c>
      <c r="E65" s="18" t="s">
        <v>63</v>
      </c>
      <c r="F65" s="17" t="s">
        <v>366</v>
      </c>
      <c r="G65" s="17" t="s">
        <v>367</v>
      </c>
      <c r="H65" s="17" t="s">
        <v>368</v>
      </c>
    </row>
    <row r="66" ht="42" spans="1:8">
      <c r="A66" s="17" t="s">
        <v>369</v>
      </c>
      <c r="B66" s="17" t="s">
        <v>370</v>
      </c>
      <c r="C66" s="17" t="s">
        <v>30</v>
      </c>
      <c r="D66" s="17" t="s">
        <v>371</v>
      </c>
      <c r="E66" s="18" t="s">
        <v>56</v>
      </c>
      <c r="F66" s="17" t="s">
        <v>372</v>
      </c>
      <c r="G66" s="17" t="s">
        <v>373</v>
      </c>
      <c r="H66" s="17" t="s">
        <v>374</v>
      </c>
    </row>
    <row r="67" ht="56" spans="1:8">
      <c r="A67" s="17" t="s">
        <v>375</v>
      </c>
      <c r="B67" s="17" t="s">
        <v>370</v>
      </c>
      <c r="C67" s="17" t="s">
        <v>30</v>
      </c>
      <c r="D67" s="17" t="s">
        <v>376</v>
      </c>
      <c r="E67" s="18" t="s">
        <v>63</v>
      </c>
      <c r="F67" s="17" t="s">
        <v>377</v>
      </c>
      <c r="G67" s="17" t="s">
        <v>378</v>
      </c>
      <c r="H67" s="17" t="s">
        <v>379</v>
      </c>
    </row>
    <row r="68" ht="56" spans="1:8">
      <c r="A68" s="17" t="s">
        <v>380</v>
      </c>
      <c r="B68" s="17" t="s">
        <v>381</v>
      </c>
      <c r="C68" s="17" t="s">
        <v>30</v>
      </c>
      <c r="D68" s="17" t="s">
        <v>382</v>
      </c>
      <c r="E68" s="18" t="s">
        <v>63</v>
      </c>
      <c r="F68" s="17" t="s">
        <v>383</v>
      </c>
      <c r="G68" s="17" t="s">
        <v>384</v>
      </c>
      <c r="H68" s="17" t="s">
        <v>385</v>
      </c>
    </row>
    <row r="69" ht="70" spans="1:8">
      <c r="A69" s="17" t="s">
        <v>386</v>
      </c>
      <c r="B69" s="17" t="s">
        <v>31</v>
      </c>
      <c r="C69" s="17" t="s">
        <v>31</v>
      </c>
      <c r="D69" s="17" t="s">
        <v>387</v>
      </c>
      <c r="E69" s="18" t="s">
        <v>56</v>
      </c>
      <c r="F69" s="17" t="s">
        <v>388</v>
      </c>
      <c r="G69" s="17" t="s">
        <v>389</v>
      </c>
      <c r="H69" s="17" t="s">
        <v>390</v>
      </c>
    </row>
    <row r="70" ht="56" spans="1:8">
      <c r="A70" s="17" t="s">
        <v>391</v>
      </c>
      <c r="B70" s="17" t="s">
        <v>392</v>
      </c>
      <c r="C70" s="17" t="s">
        <v>32</v>
      </c>
      <c r="D70" s="17" t="s">
        <v>393</v>
      </c>
      <c r="E70" s="18" t="s">
        <v>56</v>
      </c>
      <c r="F70" s="17" t="s">
        <v>388</v>
      </c>
      <c r="G70" s="17" t="s">
        <v>394</v>
      </c>
      <c r="H70" s="17" t="s">
        <v>395</v>
      </c>
    </row>
    <row r="71" ht="42" spans="1:8">
      <c r="A71" s="17" t="s">
        <v>396</v>
      </c>
      <c r="B71" s="17" t="s">
        <v>397</v>
      </c>
      <c r="C71" s="17" t="s">
        <v>33</v>
      </c>
      <c r="D71" s="17" t="s">
        <v>398</v>
      </c>
      <c r="E71" s="18" t="s">
        <v>56</v>
      </c>
      <c r="F71" s="17" t="s">
        <v>399</v>
      </c>
      <c r="G71" s="17" t="s">
        <v>400</v>
      </c>
      <c r="H71" s="17" t="s">
        <v>401</v>
      </c>
    </row>
    <row r="72" ht="28" spans="1:8">
      <c r="A72" s="17" t="s">
        <v>402</v>
      </c>
      <c r="B72" s="17" t="s">
        <v>397</v>
      </c>
      <c r="C72" s="17" t="s">
        <v>33</v>
      </c>
      <c r="D72" s="17" t="s">
        <v>403</v>
      </c>
      <c r="E72" s="18" t="s">
        <v>56</v>
      </c>
      <c r="F72" s="17" t="s">
        <v>388</v>
      </c>
      <c r="G72" s="17" t="s">
        <v>404</v>
      </c>
      <c r="H72" s="17" t="s">
        <v>405</v>
      </c>
    </row>
    <row r="73" ht="84" spans="1:8">
      <c r="A73" s="17" t="s">
        <v>406</v>
      </c>
      <c r="B73" s="17" t="s">
        <v>36</v>
      </c>
      <c r="C73" s="17" t="s">
        <v>36</v>
      </c>
      <c r="D73" s="17" t="s">
        <v>407</v>
      </c>
      <c r="E73" s="18" t="s">
        <v>56</v>
      </c>
      <c r="F73" s="17" t="s">
        <v>408</v>
      </c>
      <c r="G73" s="17" t="s">
        <v>409</v>
      </c>
      <c r="H73" s="17" t="s">
        <v>410</v>
      </c>
    </row>
    <row r="74" ht="56" spans="1:8">
      <c r="A74" s="17" t="s">
        <v>411</v>
      </c>
      <c r="B74" s="17" t="s">
        <v>36</v>
      </c>
      <c r="C74" s="17" t="s">
        <v>36</v>
      </c>
      <c r="D74" s="17" t="s">
        <v>412</v>
      </c>
      <c r="E74" s="18" t="s">
        <v>56</v>
      </c>
      <c r="F74" s="17" t="s">
        <v>413</v>
      </c>
      <c r="G74" s="17" t="s">
        <v>414</v>
      </c>
      <c r="H74" s="17" t="s">
        <v>415</v>
      </c>
    </row>
    <row r="75" ht="70" spans="1:8">
      <c r="A75" s="17" t="s">
        <v>416</v>
      </c>
      <c r="B75" s="17" t="s">
        <v>417</v>
      </c>
      <c r="C75" s="17" t="s">
        <v>35</v>
      </c>
      <c r="D75" s="17" t="s">
        <v>418</v>
      </c>
      <c r="E75" s="18" t="s">
        <v>56</v>
      </c>
      <c r="F75" s="17" t="s">
        <v>419</v>
      </c>
      <c r="G75" s="17" t="s">
        <v>420</v>
      </c>
      <c r="H75" s="17" t="s">
        <v>421</v>
      </c>
    </row>
    <row r="76" ht="56" spans="1:8">
      <c r="A76" s="17" t="s">
        <v>422</v>
      </c>
      <c r="B76" s="17" t="s">
        <v>423</v>
      </c>
      <c r="C76" s="17" t="s">
        <v>35</v>
      </c>
      <c r="D76" s="17" t="s">
        <v>424</v>
      </c>
      <c r="E76" s="18" t="s">
        <v>63</v>
      </c>
      <c r="F76" s="17" t="s">
        <v>425</v>
      </c>
      <c r="G76" s="17" t="s">
        <v>426</v>
      </c>
      <c r="H76" s="17" t="s">
        <v>427</v>
      </c>
    </row>
    <row r="77" ht="56" spans="1:8">
      <c r="A77" s="17" t="s">
        <v>428</v>
      </c>
      <c r="B77" s="17" t="s">
        <v>429</v>
      </c>
      <c r="C77" s="17" t="s">
        <v>35</v>
      </c>
      <c r="D77" s="17" t="s">
        <v>430</v>
      </c>
      <c r="E77" s="18" t="s">
        <v>63</v>
      </c>
      <c r="F77" s="17" t="s">
        <v>431</v>
      </c>
      <c r="G77" s="17" t="s">
        <v>432</v>
      </c>
      <c r="H77" s="17" t="s">
        <v>433</v>
      </c>
    </row>
    <row r="78" ht="42" spans="1:8">
      <c r="A78" s="17" t="s">
        <v>434</v>
      </c>
      <c r="B78" s="17" t="s">
        <v>139</v>
      </c>
      <c r="C78" s="17" t="s">
        <v>35</v>
      </c>
      <c r="D78" s="17" t="s">
        <v>435</v>
      </c>
      <c r="E78" s="18" t="s">
        <v>63</v>
      </c>
      <c r="F78" s="17" t="s">
        <v>94</v>
      </c>
      <c r="G78" s="17" t="s">
        <v>436</v>
      </c>
      <c r="H78" s="17" t="s">
        <v>437</v>
      </c>
    </row>
    <row r="79" ht="56" spans="1:8">
      <c r="A79" s="17" t="s">
        <v>438</v>
      </c>
      <c r="B79" s="17" t="s">
        <v>439</v>
      </c>
      <c r="C79" s="17" t="s">
        <v>35</v>
      </c>
      <c r="D79" s="17" t="s">
        <v>440</v>
      </c>
      <c r="E79" s="18" t="s">
        <v>63</v>
      </c>
      <c r="F79" s="17" t="s">
        <v>250</v>
      </c>
      <c r="G79" s="17" t="s">
        <v>441</v>
      </c>
      <c r="H79" s="17" t="s">
        <v>442</v>
      </c>
    </row>
    <row r="80" ht="56" spans="1:8">
      <c r="A80" s="17" t="s">
        <v>443</v>
      </c>
      <c r="B80" s="17" t="s">
        <v>192</v>
      </c>
      <c r="C80" s="17" t="s">
        <v>35</v>
      </c>
      <c r="D80" s="17" t="s">
        <v>444</v>
      </c>
      <c r="E80" s="18" t="s">
        <v>63</v>
      </c>
      <c r="F80" s="17" t="s">
        <v>221</v>
      </c>
      <c r="G80" s="17" t="s">
        <v>445</v>
      </c>
      <c r="H80" s="17" t="s">
        <v>446</v>
      </c>
    </row>
    <row r="81" ht="42" spans="1:8">
      <c r="A81" s="17" t="s">
        <v>447</v>
      </c>
      <c r="B81" s="17" t="s">
        <v>321</v>
      </c>
      <c r="C81" s="17" t="s">
        <v>34</v>
      </c>
      <c r="D81" s="17" t="s">
        <v>448</v>
      </c>
      <c r="E81" s="18" t="s">
        <v>63</v>
      </c>
      <c r="F81" s="17" t="s">
        <v>449</v>
      </c>
      <c r="G81" s="17" t="s">
        <v>450</v>
      </c>
      <c r="H81" s="17" t="s">
        <v>451</v>
      </c>
    </row>
    <row r="82" ht="42" spans="1:8">
      <c r="A82" s="17" t="s">
        <v>452</v>
      </c>
      <c r="B82" s="17" t="s">
        <v>453</v>
      </c>
      <c r="C82" s="17" t="s">
        <v>34</v>
      </c>
      <c r="D82" s="17" t="s">
        <v>454</v>
      </c>
      <c r="E82" s="18" t="s">
        <v>63</v>
      </c>
      <c r="F82" s="17" t="s">
        <v>455</v>
      </c>
      <c r="G82" s="17" t="s">
        <v>450</v>
      </c>
      <c r="H82" s="17" t="s">
        <v>456</v>
      </c>
    </row>
    <row r="83" ht="56" spans="1:8">
      <c r="A83" s="17" t="s">
        <v>457</v>
      </c>
      <c r="B83" s="17" t="s">
        <v>458</v>
      </c>
      <c r="C83" s="17" t="s">
        <v>34</v>
      </c>
      <c r="D83" s="17" t="s">
        <v>459</v>
      </c>
      <c r="E83" s="18" t="s">
        <v>63</v>
      </c>
      <c r="F83" s="17" t="s">
        <v>460</v>
      </c>
      <c r="G83" s="17" t="s">
        <v>461</v>
      </c>
      <c r="H83" s="17" t="s">
        <v>462</v>
      </c>
    </row>
  </sheetData>
  <mergeCells count="1">
    <mergeCell ref="A1:M3"/>
  </mergeCells>
  <dataValidations count="4">
    <dataValidation type="list" allowBlank="1" showInputMessage="1" showErrorMessage="1" sqref="J4">
      <formula1>$W$5:$W$5</formula1>
    </dataValidation>
    <dataValidation type="list" allowBlank="1" showInputMessage="1" showErrorMessage="1" sqref="J7 J8 J9 J10 J11 J12 J70 J71 J72 J73 J74 J75 J5:J6 J13:J24 J25:J56 J57:J58 J59:J60 J61:J69 J76:J64527">
      <formula1>"Y,N"</formula1>
    </dataValidation>
    <dataValidation type="list" allowBlank="1" showInputMessage="1" showErrorMessage="1" sqref="K7 K8 K9 K10 K11 K12 K5:K6 K13:K16">
      <formula1>"Null(无缺陷),Urgent(严重错误),High(主要错误),Medium(一般错误),Low(微小错误)"</formula1>
    </dataValidation>
    <dataValidation type="list" allowBlank="1" showInputMessage="1" showErrorMessage="1" sqref="C1:C4 C84:C1048576">
      <formula1>"功能测试,性能测试,可靠性测试,安全性测试,兼容性测试,易用性测试,部署测试"</formula1>
    </dataValidation>
  </dataValidations>
  <pageMargins left="0.75" right="0.75" top="1" bottom="1" header="0.5" footer="0.5"/>
  <pageSetup paperSize="9" orientation="portrait" horizontalDpi="1200" verticalDpi="12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zoomScale="90" zoomScaleNormal="90" workbookViewId="0">
      <selection activeCell="A1" sqref="A1:B8"/>
    </sheetView>
  </sheetViews>
  <sheetFormatPr defaultColWidth="9" defaultRowHeight="13.5" outlineLevelRow="7" outlineLevelCol="1"/>
  <cols>
    <col min="1" max="1" width="17" style="1" customWidth="1"/>
    <col min="2" max="2" width="76.6083333333333" style="1" customWidth="1"/>
    <col min="3" max="16384" width="9" style="1"/>
  </cols>
  <sheetData>
    <row r="1" ht="20.45" customHeight="1" spans="1:2">
      <c r="A1" s="2" t="s">
        <v>463</v>
      </c>
      <c r="B1" s="3" t="s">
        <v>464</v>
      </c>
    </row>
    <row r="2" ht="36.35" customHeight="1" spans="1:2">
      <c r="A2" s="4" t="s">
        <v>30</v>
      </c>
      <c r="B2" s="5" t="s">
        <v>465</v>
      </c>
    </row>
    <row r="3" ht="40.5" spans="1:2">
      <c r="A3" s="6" t="s">
        <v>31</v>
      </c>
      <c r="B3" s="5" t="s">
        <v>466</v>
      </c>
    </row>
    <row r="4" ht="49.85" customHeight="1" spans="1:2">
      <c r="A4" s="6" t="s">
        <v>32</v>
      </c>
      <c r="B4" s="5" t="s">
        <v>467</v>
      </c>
    </row>
    <row r="5" ht="67.5" spans="1:2">
      <c r="A5" s="6" t="s">
        <v>33</v>
      </c>
      <c r="B5" s="5" t="s">
        <v>468</v>
      </c>
    </row>
    <row r="6" ht="40.5" spans="1:2">
      <c r="A6" s="6" t="s">
        <v>34</v>
      </c>
      <c r="B6" s="5" t="s">
        <v>469</v>
      </c>
    </row>
    <row r="7" ht="67.5" spans="1:2">
      <c r="A7" s="6" t="s">
        <v>35</v>
      </c>
      <c r="B7" s="5" t="s">
        <v>470</v>
      </c>
    </row>
    <row r="8" ht="15" spans="1:2">
      <c r="A8" s="6" t="s">
        <v>36</v>
      </c>
      <c r="B8" s="5" t="s">
        <v>471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RH</cp:lastModifiedBy>
  <dcterms:created xsi:type="dcterms:W3CDTF">2012-04-21T07:17:00Z</dcterms:created>
  <dcterms:modified xsi:type="dcterms:W3CDTF">2026-07-28T04:20:56Z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58F05B8E36B1497DBE403EBE95CD5B4E_12</vt:lpwstr>
  </property>
  <property fmtid="{D5CDD505-2E9C-101B-9397-08002B2CF9AE}" pid="3" name="KSOProductBuildVer">
    <vt:lpwstr>2052-12.1.0.28043</vt:lpwstr>
  </property>
  <property fmtid="{D5CDD505-2E9C-101B-9397-08002B2CF9AE}" pid="4" name="CalculationRule">
    <vt:i4>0</vt:i4>
  </property>
</Properties>
</file>